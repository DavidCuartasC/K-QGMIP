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7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taformas" sheetId="1" r:id="rId4"/>
    <sheet state="visible" name="10A-Elementos" sheetId="2" r:id="rId5"/>
    <sheet state="visible" name="15B-Elementos" sheetId="3" r:id="rId6"/>
    <sheet state="visible" name="20A-Elementos" sheetId="4" r:id="rId7"/>
    <sheet state="visible" name="22A-Elementos" sheetId="5" r:id="rId8"/>
    <sheet state="visible" name="25A-Elementos " sheetId="6" r:id="rId9"/>
    <sheet state="visible" name="Requerimientos" sheetId="7" r:id="rId10"/>
    <sheet state="visible" name="Graficos" sheetId="8" r:id="rId11"/>
    <sheet state="visible" name="GA2P15B" sheetId="9" r:id="rId12"/>
    <sheet state="visible" name="G1.a.1 15B" sheetId="10" r:id="rId13"/>
    <sheet state="visible" name="GA1P10A" sheetId="11" r:id="rId14"/>
    <sheet state="hidden" name="Datos2-10" sheetId="12" r:id="rId15"/>
    <sheet state="visible" name="G1.a.1 10A" sheetId="13" r:id="rId16"/>
    <sheet state="visible" name="G1.a.1 10A geomip" sheetId="14" r:id="rId17"/>
    <sheet state="visible" name="G1.a.2 10A geomip" sheetId="15" r:id="rId18"/>
    <sheet state="visible" name="G1.a.1 15B geomip" sheetId="16" r:id="rId19"/>
    <sheet state="visible" name="G1.a.2 15B geomip" sheetId="17" r:id="rId20"/>
    <sheet state="hidden" name="Datos1" sheetId="18" r:id="rId21"/>
  </sheets>
  <definedNames/>
  <calcPr/>
  <pivotCaches>
    <pivotCache cacheId="0" r:id="rId22"/>
    <pivotCache cacheId="1" r:id="rId23"/>
    <pivotCache cacheId="2" r:id="rId24"/>
    <pivotCache cacheId="3" r:id="rId25"/>
    <pivotCache cacheId="4" r:id="rId26"/>
  </pivotCaches>
  <extLst>
    <ext uri="GoogleSheetsCustomDataVersion2">
      <go:sheetsCustomData xmlns:go="http://customooxmlschemas.google.com/" r:id="rId27" roundtripDataChecksum="Wj1JITouPE7PzqKzyYtsKwCtb0ezmVUqvM8SopdwFXI="/>
    </ext>
  </extLst>
</workbook>
</file>

<file path=xl/sharedStrings.xml><?xml version="1.0" encoding="utf-8"?>
<sst xmlns="http://schemas.openxmlformats.org/spreadsheetml/2006/main" count="2448" uniqueCount="917">
  <si>
    <t>Caracteríticas plataforma</t>
  </si>
  <si>
    <t>procesador</t>
  </si>
  <si>
    <t>RAM</t>
  </si>
  <si>
    <t>S.O</t>
  </si>
  <si>
    <t>AMD Ryzen 5</t>
  </si>
  <si>
    <t>Windows 11</t>
  </si>
  <si>
    <t>Características del procesador:</t>
  </si>
  <si>
    <t>AMD Ryzen 5 5500U with Radeon Graphics (2,10 GHz)</t>
  </si>
  <si>
    <t>Software especializado empleado:</t>
  </si>
  <si>
    <t>Estado inicial</t>
  </si>
  <si>
    <t>Sistema:</t>
  </si>
  <si>
    <t>ABCDEFGHIJ</t>
  </si>
  <si>
    <t>Sistema Candidato:</t>
  </si>
  <si>
    <t>PRUEBAS  BIPARTICIONES</t>
  </si>
  <si>
    <t>PRUEBAS  3-PARTICIONES</t>
  </si>
  <si>
    <t>PRUEBAS  4-PARTICIONES</t>
  </si>
  <si>
    <t>PRUEBAS  5-PARTICIONES</t>
  </si>
  <si>
    <t>Subsistema</t>
  </si>
  <si>
    <t>QNodes</t>
  </si>
  <si>
    <t>Geometric</t>
  </si>
  <si>
    <t>#Prueba</t>
  </si>
  <si>
    <t>Alcance o Purview (t+1)</t>
  </si>
  <si>
    <t>Mecanismo(t)</t>
  </si>
  <si>
    <t>Partición</t>
  </si>
  <si>
    <t>Pérdida</t>
  </si>
  <si>
    <t>Tiempo (seg)</t>
  </si>
  <si>
    <t>Tiempo</t>
  </si>
  <si>
    <t>⎛ I ⎞⎛  A,B,C,D,E,F,G,H,J  ⎞
⎝ ∅ ⎠⎝ a,b,c,d,e,f,g,h,i,j ⎠</t>
  </si>
  <si>
    <t>⎛  A,B,C,D,E,F,G,H,J  ⎞⎛ I ⎞
⎝ a,b,c,d,e,f,g,h,i,j ⎠⎝ ∅ ⎠</t>
  </si>
  <si>
    <t>| H ||   A,B,C,D,F,G,I,J   || E |
---------------------------------
| ∅ || a,b,c,d,e,f,g,h,i,j || ∅ |</t>
  </si>
  <si>
    <t>|   A,B,D,E,F,G,H,J   || C || I |
---------------------------------
| a,b,c,d,e,f,g,h,i,j || ∅ || ∅ |</t>
  </si>
  <si>
    <t>| E,G,H || I || ∅ ||  A,B,C,D,F,J  |
------------------------------------
|  a,i  || ∅ || b || c,d,e,f,g,h,j |</t>
  </si>
  <si>
    <t>|    B,D,E,F,G,H,J    || A || C || I |
--------------------------------------
| a,b,c,d,e,f,g,h,i,j || ∅ || ∅ || ∅ |</t>
  </si>
  <si>
    <t>| G,H || B,C,D,E || ∅ ||  A,F,J  || I |
---------------------------------------
| a,i ||  d,f,g  || b || c,e,h,j || ∅ |</t>
  </si>
  <si>
    <t>|    B,D,E,F,G,J    || A || C || H || I |
-----------------------------------------
| a,b,c,d,e,f,g,h,j || ∅ || ∅ || i || ∅ |</t>
  </si>
  <si>
    <t>ABCDEFGHI</t>
  </si>
  <si>
    <t>⎛ G ⎞⎛ A,B,C,D,E,F,H,I,J ⎞
⎝ ∅ ⎠⎝ a,b,c,d,e,f,g,h,i ⎠</t>
  </si>
  <si>
    <t>⎛ A,B,C,D,E,F,H,I,J ⎞⎛ G ⎞
⎝ a,b,c,d,e,f,g,h,i ⎠⎝ ∅ ⎠</t>
  </si>
  <si>
    <t>| ∅ || C,G,J ||  A,B,D,E,F,H,I  |
---------------------------------
| e ||   ∅   || a,b,c,d,f,g,h,i |</t>
  </si>
  <si>
    <t>|  A,B,C,D,E,F,H,I  || G || J |
-------------------------------
| a,b,c,d,e,f,g,h,i || ∅ || ∅ |</t>
  </si>
  <si>
    <t>| ∅ || B ||    D,E,F,H,I    || A,C,G,J |
----------------------------------------
| d || ∅ || a,b,c,e,f,g,h,i ||    ∅    |</t>
  </si>
  <si>
    <t>|   A,B,D,E,F,H,I   || C || G || J |
------------------------------------
| a,b,c,d,e,f,g,h,i || ∅ || ∅ || ∅ |</t>
  </si>
  <si>
    <t>| F || I || ∅ || A,C,G,J ||     B,D,E,H     |
---------------------------------------------
| ∅ || ∅ || b ||    ∅    || a,c,d,e,f,g,h,i |</t>
  </si>
  <si>
    <t>|    B,D,E,F,H,I    || A || C || G || J |
-----------------------------------------
| a,b,c,d,e,f,g,h,i || ∅ || ∅ || ∅ || ∅ |</t>
  </si>
  <si>
    <t>BCDEFGHIJ</t>
  </si>
  <si>
    <t>⎛ G ⎞⎛ A,B,C,D,E,F,H,I,J ⎞
⎝ ∅ ⎠⎝ b,c,d,e,f,g,h,i,j ⎠</t>
  </si>
  <si>
    <t>⎛ A,B,C,D,E,F,H,I,J ⎞⎛ G ⎞
⎝ b,c,d,e,f,g,h,i,j ⎠⎝ ∅ ⎠</t>
  </si>
  <si>
    <t>| G || A ||  B,C,D,E,F,H,I,J  |
-------------------------------
| ∅ || ∅ || b,c,d,e,f,g,h,i,j |</t>
  </si>
  <si>
    <t>|  A,B,C,D,E,H,I,J  || F || G |
-------------------------------
| b,c,d,e,f,g,h,i,j || ∅ || ∅ |</t>
  </si>
  <si>
    <t>| E,F,G,I || ∅ ||    A,B,D,H,J    || C |
----------------------------------------
|    ∅    || b || c,d,e,f,g,h,i,j || ∅ |</t>
  </si>
  <si>
    <t>|   A,B,C,D,E,I,J   || F || G || H |
------------------------------------
| b,c,d,e,f,g,h,i,j || ∅ || ∅ || ∅ |</t>
  </si>
  <si>
    <t>| F || G || A,H,I ||  B,C,D,E,J  || ∅ |
---------------------------------------
| i || ∅ ||   j   || b,c,d,f,g,h || e |</t>
  </si>
  <si>
    <t>|    A,C,D,E,I,J    || B || F || G || H |
-----------------------------------------
| b,c,d,e,f,g,h,i,j || ∅ || ∅ || ∅ || ∅ |</t>
  </si>
  <si>
    <t>BCDEFGHI</t>
  </si>
  <si>
    <t>⎛ H ⎞⎛ A,B,C,D,E,F,G,I,J ⎞
⎝ ∅ ⎠⎝  b,c,d,e,f,g,h,i  ⎠</t>
  </si>
  <si>
    <t>⎛ A,B,C,D,E,F,G,I,J ⎞⎛ H ⎞
⎝  b,c,d,e,f,g,h,i  ⎠⎝ ∅ ⎠</t>
  </si>
  <si>
    <t>|  ∅  || A,B,C,D,E,G,J || F,H,I |
---------------------------------
| c,h ||  b,d,e,f,g,i  ||   ∅   |</t>
  </si>
  <si>
    <t>| A,C,D,E,F,G,I,J || B || H |
-----------------------------
| b,c,d,e,f,g,h,i || ∅ || ∅ |</t>
  </si>
  <si>
    <t>| I || A,B || D,E,F,G,H,J || C |
--------------------------------
| b ||  i  || c,d,e,f,g,h || ∅ |</t>
  </si>
  <si>
    <t>| A ||  C,D,E,F,G,I,J  || B || H |
----------------------------------
| ∅ || b,c,d,e,f,g,h,i || ∅ || ∅ |</t>
  </si>
  <si>
    <t>| H || A ||  G  || B,C,D,E,F,J || I |
-------------------------------------
| ∅ || ∅ || c,h || b,d,e,f,g,i || ∅ |</t>
  </si>
  <si>
    <t>| A ||   C,D,E,F,G,J   || B || H || I |
---------------------------------------
| ∅ || b,c,d,e,f,g,h,i || ∅ || ∅ || ∅ |</t>
  </si>
  <si>
    <t>ABDEGHJ</t>
  </si>
  <si>
    <t>⎛ J ⎞⎛ A,B,C,D,E,F,G,H,I ⎞
⎝ ∅ ⎠⎝  a,b,d,e,g,h,i,j  ⎠</t>
  </si>
  <si>
    <t>⎛ A,B,C,D,E,F,G,H,I ⎞⎛ J ⎞
⎝   a,b,d,e,g,h,j   ⎠⎝ ∅ ⎠</t>
  </si>
  <si>
    <t>| B,C,D,G,H,I || A,E,F || J |
-----------------------------
|   a,d,g,h   || b,e,j || ∅ |</t>
  </si>
  <si>
    <t>| A,B,D,E,F,G,H,I || C || J |
-----------------------------
|  a,b,d,e,g,h,j  || ∅ || ∅ |</t>
  </si>
  <si>
    <t>| C,F,H,I ||  A,B,G  || ∅ || D,E,J |
------------------------------------
|    a    || e,g,h,j || b ||   d   |</t>
  </si>
  <si>
    <t>| A,B,D,E,F,G,H || C || I || J |
--------------------------------
| a,b,d,e,g,h,j || ∅ || ∅ || ∅ |</t>
  </si>
  <si>
    <t>| C,F,G,I || A,J || ∅ || B,E || D,H |
-------------------------------------
|    a    || g,j || b ||  d  || e,h |</t>
  </si>
  <si>
    <t>|  B,D,E,F,G,H  || A || C || I || J |
-------------------------------------
| a,b,d,e,g,h,j || ∅ || ∅ || ∅ || ∅ |</t>
  </si>
  <si>
    <t>ACEGI</t>
  </si>
  <si>
    <t>⎛ E ⎞⎛ A,B,C,D,F,G,H,I,J ⎞
⎝ ∅ ⎠⎝     a,c,e,g,i     ⎠</t>
  </si>
  <si>
    <t>⎛ A,B,C,D,F,G,H,I,J ⎞⎛ E ⎞
⎝     a,c,e,g,i     ⎠⎝ ∅ ⎠</t>
  </si>
  <si>
    <t>| J || B || A,C,D,E,F,G,H,I |
-----------------------------
| ∅ || ∅ ||    a,c,e,g,i    |</t>
  </si>
  <si>
    <t>| A,B,C,D,G,H,I,J || E || F |
-----------------------------
|    a,c,e,g,i    || ∅ || ∅ |</t>
  </si>
  <si>
    <t>| A,C,E,I || B,D,F,H || J || G |
--------------------------------
|   a,c   ||  e,g,i  || ∅ || ∅ |</t>
  </si>
  <si>
    <t>| A,B,C,D,G,H,I || E || F || J |
--------------------------------
|   a,c,e,g,i   || ∅ || ∅ || ∅ |</t>
  </si>
  <si>
    <t>| C || A,B,D,E,J || G,H || I || F |
-----------------------------------
| a ||     i     || c,g || e || ∅ |</t>
  </si>
  <si>
    <t>| B,C,D,G,H,I || A || E || F || J |
-----------------------------------
|  a,c,e,g,i  || ∅ || ∅ || ∅ || ∅ |</t>
  </si>
  <si>
    <t>BDFHJ</t>
  </si>
  <si>
    <t>⎛ I ⎞⎛ A,B,C,D,E,F,G,H,J ⎞
⎝ ∅ ⎠⎝     b,d,f,h,j     ⎠</t>
  </si>
  <si>
    <t>⎛ A,B,C,D,E,F,G,H,J ⎞⎛ I ⎞
⎝     b,d,f,h,j     ⎠⎝ ∅ ⎠</t>
  </si>
  <si>
    <t>| C,F || A,B,D,E,G,H,J || I |
-----------------------------
|  ∅  ||   b,d,f,h,j   || ∅ |</t>
  </si>
  <si>
    <t>| A,B,D,E,F,G,H,J || C || I |
-----------------------------
|    b,d,f,h,j    || ∅ || ∅ |</t>
  </si>
  <si>
    <t>| B,E,G,H,J || A,F || D || C,I |
--------------------------------
| b,d,f,h,j ||  ∅  || ∅ ||  ∅  |</t>
  </si>
  <si>
    <t>| A || B,D,E,F,G,H,J || C || I |
--------------------------------
| ∅ ||   b,d,f,h,j   || ∅ || ∅ |</t>
  </si>
  <si>
    <t>| E,F,H || A,B,C,J || D || G || I |
-----------------------------------
| b,f,j ||    h    || d || ∅ || ∅ |</t>
  </si>
  <si>
    <t>| A || B,D,E,G,H,J || C || F || I |
-----------------------------------
| ∅ ||  b,d,f,h,j  || ∅ || ∅ || ∅ |</t>
  </si>
  <si>
    <t>⎛ I ⎞⎛   A,B,C,D,E,F,G,H   ⎞
⎝ ∅ ⎠⎝ a,b,c,d,e,f,g,h,i,j ⎠</t>
  </si>
  <si>
    <t>⎛   A,B,C,D,E,F,G,H   ⎞⎛ I ⎞
⎝ a,b,c,d,e,f,g,h,i,j ⎠⎝ ∅ ⎠</t>
  </si>
  <si>
    <t>|     D,E,F,H     || A,B,C,G,I || ∅ |
-------------------------------------
| a,c,d,e,f,g,h,i ||     j     || b |</t>
  </si>
  <si>
    <t>|    A,B,D,E,F,G,H    || C || I |
---------------------------------
| a,b,c,d,e,f,g,h,i,j || ∅ || ∅ |</t>
  </si>
  <si>
    <t>| G ||   A,B,C,D,E,F,H   || ∅ || I |
------------------------------------
| ∅ || a,c,d,e,f,g,h,i,j || b || ∅ |</t>
  </si>
  <si>
    <t>|     B,D,E,F,G,H     || A || C || I |
--------------------------------------
| a,b,c,d,e,f,g,h,i,j || ∅ || ∅ || ∅ |</t>
  </si>
  <si>
    <t>|  E,G,H  || B || C,I ||   A,D   || F |
---------------------------------------
| a,e,f,i || ∅ ||  j  || b,c,g,h || d |</t>
  </si>
  <si>
    <t>|     B,D,E,F,G     || A || C || H || I |
-----------------------------------------
| a,b,c,d,e,f,g,h,j || ∅ || ∅ || i || ∅ |</t>
  </si>
  <si>
    <t>⎛ G ⎞⎛  A,B,C,D,E,F,H,I  ⎞
⎝ ∅ ⎠⎝ a,b,c,d,e,f,g,h,i ⎠</t>
  </si>
  <si>
    <t>⎛  A,B,C,D,E,F,H,I  ⎞⎛ G ⎞
⎝ a,b,c,d,e,f,g,h,i ⎠⎝ ∅ ⎠</t>
  </si>
  <si>
    <t>| G || B ||   A,C,D,E,F,H,I   |
-------------------------------
| ∅ || ∅ || a,b,c,d,e,f,g,h,i |</t>
  </si>
  <si>
    <t>|   A,B,D,E,F,H,I   || C || G |
-------------------------------
| a,b,c,d,e,f,g,h,i || ∅ || ∅ |</t>
  </si>
  <si>
    <t>| A,G || B ||      D,E,F,H      || C,I |
----------------------------------------
|  ∅  || ∅ || a,b,c,d,e,f,g,h,i ||  ∅  |</t>
  </si>
  <si>
    <t>|    B,D,E,F,H,I    || A || C || G |
------------------------------------
| a,b,c,d,e,f,g,h,i || ∅ || ∅ || ∅ |</t>
  </si>
  <si>
    <t>| I || ∅ || H || A,C,G ||     B,D,E,F     |
-------------------------------------------
| ∅ || h || ∅ ||   ∅   || a,b,c,d,e,f,g,i |</t>
  </si>
  <si>
    <t>|     B,D,E,F,H     || A || C || G || I |
-----------------------------------------
| a,b,c,d,e,f,g,h,i || ∅ || ∅ || ∅ || ∅ |</t>
  </si>
  <si>
    <t>⎛ G ⎞⎛  A,B,C,D,E,F,H,I  ⎞
⎝ ∅ ⎠⎝ b,c,d,e,f,g,h,i,j ⎠</t>
  </si>
  <si>
    <t>⎛  A,B,C,D,E,F,H,I  ⎞⎛ G ⎞
⎝ b,c,d,e,f,g,h,i,j ⎠⎝ ∅ ⎠</t>
  </si>
  <si>
    <t>| F,G,H ||     A,B,C,D,I     || E |
-----------------------------------
|   ∅   || b,c,d,e,f,g,h,i,j || ∅ |</t>
  </si>
  <si>
    <t>|   A,B,C,D,E,H,I   || F || G |
-------------------------------
| b,c,d,e,f,g,h,i,j || ∅ || ∅ |</t>
  </si>
  <si>
    <t>| ∅ || B,C,D,E,H,I ||   A,F   || G |
------------------------------------
| b ||   d,f,g,h   || c,e,i,j || ∅ |</t>
  </si>
  <si>
    <t>|    A,B,C,D,E,I    || F || G || H |
------------------------------------
| b,c,d,e,f,g,h,i,j || ∅ || ∅ || ∅ |</t>
  </si>
  <si>
    <t>| ∅ || A,C,E,I || B,F,G ||  D,H  || ∅ |
---------------------------------------
| c || f,g,h,j ||   ∅   || b,d,i || e |</t>
  </si>
  <si>
    <t>|     A,C,D,E,I     || B || F || G || H |
-----------------------------------------
| b,c,d,e,f,g,h,i,j || ∅ || ∅ || ∅ || ∅ |</t>
  </si>
  <si>
    <t>⎛ H ⎞⎛ A,B,C,D,E,F,G,I ⎞
⎝ ∅ ⎠⎝ b,c,d,e,f,g,h,i ⎠</t>
  </si>
  <si>
    <t>⎛ A,B,C,D,E,F,G,I ⎞⎛ H ⎞
⎝ b,c,d,e,f,g,h,i ⎠⎝ ∅ ⎠</t>
  </si>
  <si>
    <t>| F || A,B,C,D,E,G,I ||  H  |
-----------------------------
| ∅ ||  b,d,e,f,g,i  || c,h |</t>
  </si>
  <si>
    <t>|  A,C,D,E,F,G,I  || B || H |
-----------------------------
| b,c,d,e,f,g,h,i || ∅ || ∅ |</t>
  </si>
  <si>
    <t>|  C,D,E,G,I  || A || ∅ || B,F,H |
----------------------------------
| b,e,f,g,h,i || ∅ || c ||   d   |</t>
  </si>
  <si>
    <t>| A ||   C,D,E,F,G,I   || B || H |
----------------------------------
| ∅ || b,c,d,e,f,g,h,i || ∅ || ∅ |</t>
  </si>
  <si>
    <t>| ∅ || A || I || B,C,D,F,G,H || E |
-----------------------------------
| b || i || ∅ || c,d,e,f,g,h || ∅ |</t>
  </si>
  <si>
    <t>| A ||    C,D,E,F,G    || B || H || I |
---------------------------------------
| ∅ || b,c,d,e,f,g,h,i || ∅ || ∅ || ∅ |</t>
  </si>
  <si>
    <t>⎛ C ⎞⎛ A,B,D,E,F,G,H,I ⎞
⎝ ∅ ⎠⎝  a,b,d,e,g,h,j  ⎠</t>
  </si>
  <si>
    <t>⎛ A,B,D,E,F,G,H,I ⎞⎛ C ⎞
⎝  a,b,d,e,g,h,j  ⎠⎝ ∅ ⎠</t>
  </si>
  <si>
    <t>| C || A,B,D,E,G,I || F,H |
---------------------------
| ∅ ||  a,d,g,h,j  || b,e |</t>
  </si>
  <si>
    <t>| A,B,D,E,F,G,H || C || I |
---------------------------
| a,b,d,e,g,h,j || ∅ || ∅ |</t>
  </si>
  <si>
    <t>|  B,D,E,F,G,H  || A || C || I |
--------------------------------
| a,b,d,e,g,h,j || ∅ || ∅ || ∅ |</t>
  </si>
  <si>
    <t>| H || B || I || C,D,F,G ||   A,E   |
-------------------------------------
| ∅ || ∅ || ∅ ||  a,d,g  || b,e,h,j |</t>
  </si>
  <si>
    <t>|   B,D,F,G,H   || A || C || E || I |
-------------------------------------
| a,b,d,e,g,h,j || ∅ || ∅ || ∅ || ∅ |</t>
  </si>
  <si>
    <t>⎛ E ⎞⎛ A,B,C,D,F,G,H,I ⎞
⎝ ∅ ⎠⎝    a,c,e,g,i    ⎠</t>
  </si>
  <si>
    <t>⎛ A,B,C,D,F,G,H,I ⎞⎛ E ⎞
⎝    a,c,e,g,i    ⎠⎝ ∅ ⎠</t>
  </si>
  <si>
    <t>| A,D,E,F,G,H || B || C,I |
---------------------------
|    a,g,i    || ∅ || c,e |</t>
  </si>
  <si>
    <t>| A,B,C,D,G,H,I || E || F |
---------------------------
|   a,c,e,g,i   || ∅ || ∅ |</t>
  </si>
  <si>
    <t>| A,C,I || B,D,F,H || E || G |
------------------------------
|  a,c  ||  e,g,i  || ∅ || ∅ |</t>
  </si>
  <si>
    <t>| B,C,D,G,H,I || A || E || F |
------------------------------
|  a,c,e,g,i  || ∅ || ∅ || ∅ |</t>
  </si>
  <si>
    <t>| A || C,D,E,F,H || G || B,I || ∅ |
-----------------------------------
| a ||    c,i    || ∅ ||  e  || g |</t>
  </si>
  <si>
    <t>| B,C,D,G,I || A || E || F || H |
---------------------------------
| a,c,e,g,i || ∅ || ∅ || ∅ || ∅ |</t>
  </si>
  <si>
    <t>⎛ I ⎞⎛ A,B,C,D,E,F,G,H ⎞
⎝ ∅ ⎠⎝    b,d,f,h,j    ⎠</t>
  </si>
  <si>
    <t>⎛ A,B,C,D,E,F,G,H ⎞⎛ I ⎞
⎝    b,d,f,h,j    ⎠⎝ ∅ ⎠</t>
  </si>
  <si>
    <t>| B,C,E,H,I || A,G || D,F |
---------------------------
|   b,d,j   ||  f  ||  h  |</t>
  </si>
  <si>
    <t>| A,B,D,E,F,G,H || C || I |
---------------------------
|   b,d,f,h,j   || ∅ || ∅ |</t>
  </si>
  <si>
    <t>| B,E,F,G,H || A,C || D || I |
------------------------------
| b,d,f,h,j ||  ∅  || ∅ || ∅ |</t>
  </si>
  <si>
    <t>| A || B,D,E,F,G,H || C || I |
------------------------------
| ∅ ||  b,d,f,h,j  || ∅ || ∅ |</t>
  </si>
  <si>
    <t>| I || A,E,F,H || D || G || B,C |
---------------------------------
| ∅ ||  b,f,j  || d || ∅ ||  h  |</t>
  </si>
  <si>
    <t>| A || B,D,E,G,H || C || F || I |
---------------------------------
| ∅ || b,d,f,h,j || ∅ || ∅ || ∅ |</t>
  </si>
  <si>
    <t>⎛ I ⎞⎛   B,C,D,E,F,G,H,J   ⎞
⎝ ∅ ⎠⎝ a,b,c,d,e,f,g,h,i,j ⎠</t>
  </si>
  <si>
    <t>⎛   B,C,D,E,F,G,H,J   ⎞⎛ I ⎞
⎝ a,b,c,d,e,f,g,h,i,j ⎠⎝ ∅ ⎠</t>
  </si>
  <si>
    <t>|  B,C,D,E,F,H,I  || G,J || ∅ |
-------------------------------
| a,b,c,e,f,g,h,j ||  i  || d |</t>
  </si>
  <si>
    <t>|    B,D,E,F,G,H,J    || C || I |
---------------------------------
| a,b,c,d,e,f,g,h,i,j || ∅ || ∅ |</t>
  </si>
  <si>
    <t>| C ||  B,D,E,G,H,I  || ∅ || F,J |
----------------------------------
| ∅ || a,d,e,f,g,h,i || b || c,j |</t>
  </si>
  <si>
    <t>|   B,C,D,E,F,G,J   || H || ∅ || I |
------------------------------------
| a,b,c,d,e,f,g,h,j || ∅ || i || ∅ |</t>
  </si>
  <si>
    <t>|  G  ||  B,C,D,E,H,I  || J || F || ∅ |
---------------------------------------
| c,j || a,b,d,e,f,h,i || ∅ || ∅ || g |</t>
  </si>
  <si>
    <t>|    B,D,E,F,G,J    || C || H || I || ∅ |
-----------------------------------------
| a,b,c,d,e,f,g,h,j || ∅ || ∅ || ∅ || i |</t>
  </si>
  <si>
    <t>⎛ G ⎞⎛  B,C,D,E,F,H,I,J  ⎞
⎝ ∅ ⎠⎝ a,b,c,d,e,f,g,h,i ⎠</t>
  </si>
  <si>
    <t>⎛  B,C,D,E,F,H,I,J  ⎞⎛ G ⎞
⎝ a,b,c,d,e,f,g,h,i ⎠⎝ ∅ ⎠</t>
  </si>
  <si>
    <t>| G || B ||   C,D,E,F,H,I,J   |
-------------------------------
| ∅ || ∅ || a,b,c,d,e,f,g,h,i |</t>
  </si>
  <si>
    <t>|   B,C,D,E,F,H,I   || G || J |
-------------------------------
| a,b,c,d,e,f,g,h,i || ∅ || ∅ |</t>
  </si>
  <si>
    <t>| G ||      B,D,E,F      || H || C,I,J |
----------------------------------------
| ∅ || a,b,c,d,e,f,g,h,i || ∅ ||   ∅   |</t>
  </si>
  <si>
    <t>|    B,D,E,F,H,I    || C || G || J |
------------------------------------
| a,b,c,d,e,f,g,h,i || ∅ || ∅ || ∅ |</t>
  </si>
  <si>
    <t>| F || I || ∅ || C,G,J ||     B,D,E,H     |
-------------------------------------------
| ∅ || ∅ || b ||   ∅   || a,c,d,e,f,g,h,i |</t>
  </si>
  <si>
    <t>|     B,D,E,F,H     || C || G || I || J |
-----------------------------------------
| a,b,c,d,e,f,g,h,i || ∅ || ∅ || ∅ || ∅ |</t>
  </si>
  <si>
    <t>⎛ G ⎞⎛  B,C,D,E,F,H,I,J  ⎞
⎝ ∅ ⎠⎝ b,c,d,e,f,g,h,i,j ⎠</t>
  </si>
  <si>
    <t>⎛  B,C,D,E,F,H,I,J  ⎞⎛ G ⎞
⎝ b,c,d,e,f,g,h,i,j ⎠⎝ ∅ ⎠</t>
  </si>
  <si>
    <t>| B,F,G,H,I || ∅ ||     C,D,E,J     |
-------------------------------------
|     ∅     || i || b,c,d,e,f,g,h,j |</t>
  </si>
  <si>
    <t>|   B,C,D,E,H,I,J   || F || G |
-------------------------------
| b,c,d,e,f,g,h,i,j || ∅ || ∅ |</t>
  </si>
  <si>
    <t>|  I,J  || C || E,F,H ||    B,D,G    |
--------------------------------------
| b,c,j || ∅ ||   ∅   || d,e,f,g,h,i |</t>
  </si>
  <si>
    <t>|    B,C,D,E,I,J    || F || G || H |
------------------------------------
| b,c,d,e,f,g,h,i,j || ∅ || ∅ || ∅ |</t>
  </si>
  <si>
    <t>|  J  || H || F,G ||  B,C,D,I  || E |
-------------------------------------
| b,c || j ||  ∅  || d,f,g,h,i || e |</t>
  </si>
  <si>
    <t>|     C,D,E,I,J     || B || F || G || H |
-----------------------------------------
| b,c,d,e,f,g,h,i,j || ∅ || ∅ || ∅ || ∅ |</t>
  </si>
  <si>
    <t>⎛ H ⎞⎛ B,C,D,E,F,G,I,J ⎞
⎝ ∅ ⎠⎝ b,c,d,e,f,g,h,i ⎠</t>
  </si>
  <si>
    <t>⎛ B,C,D,E,F,G,I,J ⎞⎛ H ⎞
⎝ b,c,d,e,f,g,h,i ⎠⎝ ∅ ⎠</t>
  </si>
  <si>
    <t>| B || H,I ||   C,D,E,F,G,J   |
-------------------------------
| ∅ ||  ∅  || b,c,d,e,f,g,h,i |</t>
  </si>
  <si>
    <t>|  C,D,E,F,G,I,J  || B || H |
-----------------------------
| b,c,d,e,f,g,h,i || ∅ || ∅ |</t>
  </si>
  <si>
    <t>| B,H || C,E,I ||    D,G,J    || F |
------------------------------------
|  ∅  ||  f,h  || b,c,d,e,g,i || ∅ |</t>
  </si>
  <si>
    <t>|   C,D,E,F,G,J   || B || H || I |
----------------------------------
| b,c,d,e,f,g,h,i || ∅ || ∅ || ∅ |</t>
  </si>
  <si>
    <t>| D || B,C,E,F,G,J || H || ∅ || I |
-----------------------------------
| i || b,c,e,f,g,h || ∅ || d || ∅ |</t>
  </si>
  <si>
    <t>|    D,E,F,G,J    || B || C || H || I |
---------------------------------------
| b,c,d,e,f,g,h,i || ∅ || ∅ || ∅ || ∅ |</t>
  </si>
  <si>
    <t>⎛ J ⎞⎛ B,C,D,E,F,G,H,I ⎞
⎝ ∅ ⎠⎝  a,b,d,e,g,h,j  ⎠</t>
  </si>
  <si>
    <t>⎛ B,C,D,E,F,G,H,I ⎞⎛ J ⎞
⎝  a,b,d,e,g,h,j  ⎠⎝ ∅ ⎠</t>
  </si>
  <si>
    <t>| B,C,D,F,G,I || E,J ||  H  |
-----------------------------
|    a,d,g    || b,j || e,h |</t>
  </si>
  <si>
    <t>| B,D,E,F,G,H,I || C || J |
---------------------------
| a,b,d,e,g,h,j || ∅ || ∅ |</t>
  </si>
  <si>
    <t>|  B,D,G  || C,H || E,F,I || J |
--------------------------------
| a,d,g,h ||  ∅  || b,e,j || ∅ |</t>
  </si>
  <si>
    <t>|  B,D,E,F,G,H  || C || I || J |
--------------------------------
| a,b,d,e,g,h,j || ∅ || ∅ || ∅ |</t>
  </si>
  <si>
    <t>| C,H ||  D,I,J  || ∅ || B,F || E,G |
-------------------------------------
|  ∅  || a,e,g,h || b ||  d  ||  j  |</t>
  </si>
  <si>
    <t>|   B,D,F,G,H   || C || E || I || J |
-------------------------------------
| a,b,d,e,g,h,j || ∅ || ∅ || ∅ || ∅ |</t>
  </si>
  <si>
    <t>⎛ E ⎞⎛ B,C,D,F,G,H,I,J ⎞
⎝ ∅ ⎠⎝    a,c,e,g,i    ⎠</t>
  </si>
  <si>
    <t>⎛ B,C,D,F,G,H,I,J ⎞⎛ E ⎞
⎝    a,c,e,g,i    ⎠⎝ ∅ ⎠</t>
  </si>
  <si>
    <t>| J || B || C,D,E,F,G,H,I |
---------------------------
| ∅ || ∅ ||   a,c,e,g,i   |</t>
  </si>
  <si>
    <t>| B,C,D,G,H,I,J || E || F |
---------------------------
|   a,c,e,g,i   || ∅ || ∅ |</t>
  </si>
  <si>
    <t>| C || B,D,F,H || J || E,G,I |
------------------------------
| ∅ ||  e,g,i  || ∅ ||  a,c  |</t>
  </si>
  <si>
    <t>| B,C,D,G,H,I || E || F || J |
------------------------------
|  a,c,e,g,i  || ∅ || ∅ || ∅ |</t>
  </si>
  <si>
    <t>| C,I || E || F,G || B,D,H || J |
---------------------------------
|  a  || ∅ ||  c  || e,g,i || ∅ |</t>
  </si>
  <si>
    <t>| B,C,D,G,I || E || F || H || J |
---------------------------------
| a,c,e,g,i || ∅ || ∅ || ∅ || ∅ |</t>
  </si>
  <si>
    <t>⎛ I ⎞⎛ B,C,D,E,F,G,H,J ⎞
⎝ ∅ ⎠⎝    b,d,f,h,j    ⎠</t>
  </si>
  <si>
    <t>⎛ B,C,D,E,F,G,H,J ⎞⎛ I ⎞
⎝    b,d,f,h,j    ⎠⎝ ∅ ⎠</t>
  </si>
  <si>
    <t>| I || C || B,D,E,F,G,H,J |
---------------------------
| ∅ || ∅ ||   b,d,f,h,j   |</t>
  </si>
  <si>
    <t>| B,D,E,F,G,H,J || C || I |
---------------------------
|   b,d,f,h,j   || ∅ || ∅ |</t>
  </si>
  <si>
    <t>| I || B,E,G,H || D || C,F,J |
------------------------------
| ∅ || b,d,f,j || ∅ ||   h   |</t>
  </si>
  <si>
    <t>| B,D,E,G,H,J || C || F || I |
------------------------------
|  b,d,f,h,j  || ∅ || ∅ || ∅ |</t>
  </si>
  <si>
    <t>| ∅ || C,G || D,E,H || I || B,F,J |
-----------------------------------
| b || f,j ||   d   || ∅ ||   h   |</t>
  </si>
  <si>
    <t>| B,D,E,G,H || C || F || I || J |
---------------------------------
| b,d,f,h,j || ∅ || ∅ || ∅ || ∅ |</t>
  </si>
  <si>
    <t>⎛ I ⎞⎛    B,C,D,E,F,G,H    ⎞
⎝ ∅ ⎠⎝ a,b,c,d,e,f,g,h,i,j ⎠</t>
  </si>
  <si>
    <t>⎛    B,C,D,E,F,G,H    ⎞⎛ I ⎞
⎝ a,b,c,d,e,f,g,h,i,j ⎠⎝ ∅ ⎠</t>
  </si>
  <si>
    <t>| H ||     B,C,D,E,G,I     || F |
---------------------------------
| ∅ || a,b,c,d,e,f,g,h,i,j || ∅ |</t>
  </si>
  <si>
    <t>|     B,D,E,F,G,H     || C || I |
---------------------------------
| a,b,c,d,e,f,g,h,i,j || ∅ || ∅ |</t>
  </si>
  <si>
    <t>| ∅ ||     B,C,E,F,G     || D,I || H |
--------------------------------------
| h || a,b,c,d,e,f,g,i,j ||  ∅  || ∅ |</t>
  </si>
  <si>
    <t>|    B,C,D,E,F,G    || H || ∅ || I |
------------------------------------
| a,b,c,d,e,f,g,h,j || ∅ || i || ∅ |</t>
  </si>
  <si>
    <t>| E,F,G || B || I ||     C,D,H     || ∅ |
-----------------------------------------
|  a,i  || ∅ || ∅ || b,c,d,e,f,h,j || g |</t>
  </si>
  <si>
    <t>|     B,D,E,F,G     || C || H || I || ∅ |
-----------------------------------------
| a,b,c,d,e,f,g,h,j || ∅ || ∅ || ∅ || i |</t>
  </si>
  <si>
    <t>⎛ G ⎞⎛   B,C,D,E,F,H,I   ⎞
⎝ ∅ ⎠⎝ a,b,c,d,e,f,g,h,i ⎠</t>
  </si>
  <si>
    <t>⎛   B,C,D,E,F,H,I   ⎞⎛ G ⎞
⎝ a,b,c,d,e,f,g,h,i ⎠⎝ ∅ ⎠</t>
  </si>
  <si>
    <t>| G || B ||    C,D,E,F,H,I    |
-------------------------------
| ∅ || ∅ || a,b,c,d,e,f,g,h,i |</t>
  </si>
  <si>
    <t>|    B,D,E,F,H,I    || C || G |
-------------------------------
| a,b,c,d,e,f,g,h,i || ∅ || ∅ |</t>
  </si>
  <si>
    <t>| C,G,I ||     B,D,E,H     || ∅ || F |
--------------------------------------
|   ∅   || a,b,d,e,f,g,h,i || c || ∅ |</t>
  </si>
  <si>
    <t>|     B,D,E,F,H     || C || G || I |
------------------------------------
| a,b,c,d,e,f,g,h,i || ∅ || ∅ || ∅ |</t>
  </si>
  <si>
    <t>| C || B || G,I || ∅ ||     D,E,F,H     |
-----------------------------------------
| ∅ || ∅ ||  ∅  || c || a,b,d,e,f,g,h,i |</t>
  </si>
  <si>
    <t>|      B,D,E,H      || C || F || G || I |
-----------------------------------------
| a,b,c,d,e,f,g,h,i || ∅ || ∅ || ∅ || ∅ |</t>
  </si>
  <si>
    <t>⎛ G ⎞⎛   B,C,D,E,F,H,I   ⎞
⎝ ∅ ⎠⎝ b,c,d,e,f,g,h,i,j ⎠</t>
  </si>
  <si>
    <t>⎛   B,C,D,E,F,H,I   ⎞⎛ G ⎞
⎝ b,c,d,e,f,g,h,i,j ⎠⎝ ∅ ⎠</t>
  </si>
  <si>
    <t>| F,G ||   B,C,D,E,H,I   || ∅ |
-------------------------------
|  ∅  || b,d,e,f,g,h,i,j || c |</t>
  </si>
  <si>
    <t>|    B,C,D,E,H,I    || F || G |
-------------------------------
| b,c,d,e,f,g,h,i,j || ∅ || ∅ |</t>
  </si>
  <si>
    <t>| I || F,G || ∅ ||    B,C,D,E,H    |
------------------------------------
| ∅ ||  ∅  || c || b,d,e,f,g,h,i,j |</t>
  </si>
  <si>
    <t>|     B,C,D,E,I     || F || G || H |
------------------------------------
| b,c,d,e,f,g,h,i,j || ∅ || ∅ || ∅ |</t>
  </si>
  <si>
    <t>| ∅ || F,G || ∅ ||   B,C,D,H,I   || E |
---------------------------------------
| b ||  ∅  || c || d,e,f,g,h,i,j || ∅ |</t>
  </si>
  <si>
    <t>|      C,D,E,I      || B || F || G || H |
-----------------------------------------
| b,c,d,e,f,g,h,i,j || ∅ || ∅ || ∅ || ∅ |</t>
  </si>
  <si>
    <t>⎛ H ⎞⎛  B,C,D,E,F,G,I  ⎞
⎝ ∅ ⎠⎝ b,c,d,e,f,g,h,i ⎠</t>
  </si>
  <si>
    <t>⎛  B,C,D,E,F,G,I  ⎞⎛ H ⎞
⎝ b,c,d,e,f,g,h,i ⎠⎝ ∅ ⎠</t>
  </si>
  <si>
    <t>| H || B ||   C,D,E,F,G,I   |
-----------------------------
| ∅ || ∅ || b,c,d,e,f,g,h,i |</t>
  </si>
  <si>
    <t>|   C,D,E,F,G,I   || B || H |
-----------------------------
| b,c,d,e,f,g,h,i || ∅ || ∅ |</t>
  </si>
  <si>
    <t>| B || C ||   D,E,F,G,I   || H |
--------------------------------
| ∅ || d || b,c,e,f,g,h,i || ∅ |</t>
  </si>
  <si>
    <t>|    C,D,E,F,G    || B || H || I |
----------------------------------
| b,c,d,e,f,g,h,i || ∅ || ∅ || ∅ |</t>
  </si>
  <si>
    <t>| ∅ || H,I || ∅ ||  C,D,E,G  || B,F |
-------------------------------------
| b ||  h  || c || d,e,f,g,i ||  ∅  |</t>
  </si>
  <si>
    <t>|     D,E,F,G     || B || C || H || I |
---------------------------------------
| b,c,d,e,f,g,h,i || ∅ || ∅ || ∅ || ∅ |</t>
  </si>
  <si>
    <t>⎛ C ⎞⎛ B,D,E,F,G,H,I ⎞
⎝ ∅ ⎠⎝ a,b,d,e,g,h,j ⎠</t>
  </si>
  <si>
    <t>⎛ B,D,E,F,G,H,I ⎞⎛ C ⎞
⎝ a,b,d,e,g,h,j ⎠⎝ ∅ ⎠</t>
  </si>
  <si>
    <t>| B,C,G || E || D,F,H,I |
-------------------------
|  a,d  || j || b,e,g,h |</t>
  </si>
  <si>
    <t>|  B,D,E,F,G,H  || C || I |
---------------------------
| a,b,d,e,g,h,j || ∅ || ∅ |</t>
  </si>
  <si>
    <t>| ∅ || H,I || B,C,E,F,G || D |
------------------------------
| g ||  h  ||  a,b,e,j  || d |</t>
  </si>
  <si>
    <t>|   B,D,F,G,H   || C || E || I |
--------------------------------
| a,b,d,e,g,h,j || ∅ || ∅ || ∅ |</t>
  </si>
  <si>
    <t>| C,H ||   D,I   || ∅ || B,F || E,G |
-------------------------------------
|  ∅  || a,e,g,h || b ||  d  ||  j  |</t>
  </si>
  <si>
    <t>|    B,D,F,G    || C || E || H || I |
-------------------------------------
| a,b,d,e,g,h,j || ∅ || ∅ || ∅ || ∅ |</t>
  </si>
  <si>
    <t>⎛ E ⎞⎛ B,C,D,F,G,H,I ⎞
⎝ ∅ ⎠⎝   a,c,e,g,i   ⎠</t>
  </si>
  <si>
    <t>⎛ B,C,D,F,G,H,I ⎞⎛ E ⎞
⎝   a,c,e,g,i   ⎠⎝ ∅ ⎠</t>
  </si>
  <si>
    <t>| D,E,F,G,H || B || C,I |
-------------------------
|   a,g,i   || ∅ || c,e |</t>
  </si>
  <si>
    <t>| B,C,D,G,H,I || E || F |
-------------------------
|  a,c,e,g,i  || ∅ || ∅ |</t>
  </si>
  <si>
    <t>| F || C,D,G,H,I || E || B |
----------------------------
| ∅ || a,c,e,g,i || ∅ || ∅ |</t>
  </si>
  <si>
    <t>| B,C,D,G,I || E || F || H |
----------------------------
| a,c,e,g,i || ∅ || ∅ || ∅ |</t>
  </si>
  <si>
    <t>| C,I || E || F || B || D,G,H |
-------------------------------
| c,e || ∅ || ∅ || ∅ || a,g,i |</t>
  </si>
  <si>
    <t>|  C,D,G,I  || B || E || F || H |
---------------------------------
| a,c,e,g,i || ∅ || ∅ || ∅ || ∅ |</t>
  </si>
  <si>
    <t>⎛ I ⎞⎛ B,C,D,E,F,G,H ⎞
⎝ ∅ ⎠⎝   b,d,f,h,j   ⎠</t>
  </si>
  <si>
    <t>⎛ B,C,D,E,F,G,H ⎞⎛ I ⎞
⎝   b,d,f,h,j   ⎠⎝ ∅ ⎠</t>
  </si>
  <si>
    <t>| B,C,D,E,F,G || I || H |
-------------------------
|  b,d,f,h,j  || ∅ || ∅ |</t>
  </si>
  <si>
    <t>| B,D,E,F,G,H || C || I |
-------------------------
|  b,d,f,h,j  || ∅ || ∅ |</t>
  </si>
  <si>
    <t>| ∅ || B,C,E,H,I || G || D,F |
------------------------------
| f ||   b,d,j   || ∅ ||  h  |</t>
  </si>
  <si>
    <t>| B,D,E,G,H || C || F || I |
----------------------------
| b,d,f,h,j || ∅ || ∅ || ∅ |</t>
  </si>
  <si>
    <t>| ∅ || E,G,H ||  D  || I || B,C,F |
-----------------------------------
| b ||   j   || d,f || ∅ ||   h   |</t>
  </si>
  <si>
    <t>|  B,D,E,H  || C || F || G || I |
---------------------------------
| b,d,f,h,j || ∅ || ∅ || ∅ || ∅ |</t>
  </si>
  <si>
    <t>⎛ A ⎞⎛     B,D,E,G,H,J     ⎞
⎝ ∅ ⎠⎝ a,b,c,d,e,f,g,h,i,j ⎠</t>
  </si>
  <si>
    <t>⎛     B,D,E,G,H,J     ⎞⎛ A ⎞
⎝ a,b,c,d,e,f,g,h,i,j ⎠⎝ ∅ ⎠</t>
  </si>
  <si>
    <t>| H,J ||    A,B,D,E,G    || ∅ |
-------------------------------
|  c  || a,d,e,f,g,h,i,j || b |</t>
  </si>
  <si>
    <t>|     B,D,E,G,J     || A || H |
-------------------------------
| a,b,c,d,e,f,g,h,j || ∅ || i |</t>
  </si>
  <si>
    <t>|  B,G  || E || A ||     D,H,J     |
------------------------------------
| a,g,i || ∅ || ∅ || b,c,d,e,f,h,j |</t>
  </si>
  <si>
    <t>|     B,D,E,G,J     || A || H || ∅ |
------------------------------------
| a,b,c,d,e,f,g,h,j || ∅ || ∅ || i |</t>
  </si>
  <si>
    <t>|   B,D,E,G   || J || A ||   H   || ∅ |
---------------------------------------
| a,b,d,e,f,i || ∅ || ∅ || c,h,j || g |</t>
  </si>
  <si>
    <t>|     A,D,G,H     || B || E || ∅ || J |
---------------------------------------
| a,b,c,d,g,h,i,j || e || ∅ || f || ∅ |</t>
  </si>
  <si>
    <t>⎛ G ⎞⎛    A,B,D,E,H,J    ⎞
⎝ ∅ ⎠⎝ a,b,c,d,e,f,g,h,i ⎠</t>
  </si>
  <si>
    <t>⎛    A,B,D,E,H,J    ⎞⎛ G ⎞
⎝ a,b,c,d,e,f,g,h,i ⎠⎝ ∅ ⎠</t>
  </si>
  <si>
    <t>|   A,B,D,E,G,H   || J || ∅ |
-----------------------------
| a,c,d,e,f,g,h,i || ∅ || b |</t>
  </si>
  <si>
    <t>|     A,B,D,E,H     || G || J |
-------------------------------
| a,b,c,d,e,f,g,h,i || ∅ || ∅ |</t>
  </si>
  <si>
    <t>| E || G ||   B   ||   A,D,H,J   |
----------------------------------
| ∅ || ∅ || e,f,i || a,b,c,d,g,h |</t>
  </si>
  <si>
    <t>|      B,D,E,H      || A || G || J |
------------------------------------
| a,b,c,d,e,f,g,h,i || ∅ || ∅ || ∅ |</t>
  </si>
  <si>
    <t>| A || B || ∅ || J ||     D,E,G,H     |
---------------------------------------
| ∅ || ∅ || b || ∅ || a,c,d,e,f,g,h,i |</t>
  </si>
  <si>
    <t>|     B,D,E,H     || A || ∅ || G || J |
---------------------------------------
| a,b,c,e,f,g,h,i || ∅ || d || ∅ || ∅ |</t>
  </si>
  <si>
    <t>⎛ G ⎞⎛    A,B,D,E,H,J    ⎞
⎝ ∅ ⎠⎝ b,c,d,e,f,g,h,i,j ⎠</t>
  </si>
  <si>
    <t>⎛    A,B,D,E,H,J    ⎞⎛ G ⎞
⎝ b,c,d,e,f,g,h,i,j ⎠⎝ ∅ ⎠</t>
  </si>
  <si>
    <t>| ∅ || G ||   A,B,D,E,H,J   |
-----------------------------
| i || ∅ || b,c,d,e,f,g,h,j |</t>
  </si>
  <si>
    <t>|     A,B,D,E,J     || G || H |
-------------------------------
| b,c,d,e,f,g,h,i,j || ∅ || ∅ |</t>
  </si>
  <si>
    <t>| G || ∅ ||    A,B,D,H,J    || E |
----------------------------------
| ∅ || i || b,c,d,e,f,g,h,j || ∅ |</t>
  </si>
  <si>
    <t>|      A,D,E,J      || B || G || H |
------------------------------------
| b,c,d,e,f,g,h,i,j || ∅ || ∅ || ∅ |</t>
  </si>
  <si>
    <t>| H ||       A,D       || B,G || J || E |
-----------------------------------------
| ∅ || b,c,d,e,g,h,i,j ||  f  || ∅ || ∅ |</t>
  </si>
  <si>
    <t>|       A,D,J       || B || E || G || H |
-----------------------------------------
| b,c,d,e,f,g,h,i,j || ∅ || ∅ || ∅ || ∅ |</t>
  </si>
  <si>
    <t>⎛ H ⎞⎛   A,B,D,E,G,J   ⎞
⎝ ∅ ⎠⎝ b,c,d,e,f,g,h,i ⎠</t>
  </si>
  <si>
    <t>⎛   A,B,D,E,G,J   ⎞⎛ H ⎞
⎝ b,c,d,e,f,g,h,i ⎠⎝ ∅ ⎠</t>
  </si>
  <si>
    <t>| A,B,D,E,G,J || H ||  ∅  |
---------------------------
| b,d,e,f,g,i || ∅ || c,h |</t>
  </si>
  <si>
    <t>|    A,D,E,G,J    || B || H |
-----------------------------
| b,c,d,e,f,g,h,i || ∅ || ∅ |</t>
  </si>
  <si>
    <t>| ∅ || A ||  D,E,G,H,J  || B |
------------------------------
| b || i || c,d,e,f,g,h || ∅ |</t>
  </si>
  <si>
    <t>| A ||     D,E,G,J     || B || H |
----------------------------------
| ∅ || b,c,d,e,f,g,h,i || ∅ || ∅ |</t>
  </si>
  <si>
    <t>| ∅ ||  D,E,G,J  ||  ∅  || A,H || B |
-------------------------------------
| b || d,e,f,g,i || c,h ||  ∅  || ∅ |</t>
  </si>
  <si>
    <t>| A ||      D,E,G      || B || H || J |
---------------------------------------
| ∅ || b,c,d,e,f,g,h,i || ∅ || ∅ || ∅ |</t>
  </si>
  <si>
    <t>⎛ J ⎞⎛  A,B,D,E,G,H  ⎞
⎝ ∅ ⎠⎝ a,b,d,e,g,h,j ⎠</t>
  </si>
  <si>
    <t>⎛  A,B,D,E,G,H  ⎞⎛ J ⎞
⎝ a,b,d,e,g,h,j ⎠⎝ ∅ ⎠</t>
  </si>
  <si>
    <t>|  D  || A,B,E,H || G,J |
-------------------------
| a,g || b,d,e,h ||  j  |</t>
  </si>
  <si>
    <t>|   B,D,E,G,H   || A || J |
---------------------------
| a,b,d,e,g,h,j || ∅ || ∅ |</t>
  </si>
  <si>
    <t>|  E,G  || B ||  A,D,H  || J |
------------------------------
| a,d,j || ∅ || b,e,g,h || ∅ |</t>
  </si>
  <si>
    <t>|    B,D,G,H    || A || E || J |
--------------------------------
| a,b,d,e,g,h,j || ∅ || ∅ || ∅ |</t>
  </si>
  <si>
    <t>| G || D,H || ∅ || B ||  A,E,J  |
---------------------------------
| ∅ || e,h || b || ∅ || a,d,g,j |</t>
  </si>
  <si>
    <t>|     B,D,G     || A || E || H || J |
-------------------------------------
| a,b,d,e,g,h,j || ∅ || ∅ || ∅ || ∅ |</t>
  </si>
  <si>
    <t>⎛ E ⎞⎛ A,B,D,G,H,J ⎞
⎝ ∅ ⎠⎝  a,c,e,g,i  ⎠</t>
  </si>
  <si>
    <t>⎛ A,B,D,G,H,J ⎞⎛ E ⎞
⎝  a,c,e,g,i  ⎠⎝ ∅ ⎠</t>
  </si>
  <si>
    <t>| J || E || A,B,D,G,H |
-----------------------
| ∅ || ∅ || a,c,e,g,i |</t>
  </si>
  <si>
    <t>| A,B,D,G,H || E || J |
-----------------------
| a,c,e,g,i || ∅ || ∅ |</t>
  </si>
  <si>
    <t>| ∅ || A,D,E,G,H || J || B |
----------------------------
| c ||   a,g,i   || ∅ || e |</t>
  </si>
  <si>
    <t>|  B,D,G,H  || A || E || J |
----------------------------
| a,c,e,g,i || ∅ || ∅ || ∅ |</t>
  </si>
  <si>
    <t>| ∅ || A,B,D,E || G,H || ∅ || J |
---------------------------------
| a ||    i    || c,g || e || ∅ |</t>
  </si>
  <si>
    <t>|   B,D,G   || A || E || H || J |
---------------------------------
| a,c,e,g,i || ∅ || ∅ || ∅ || ∅ |</t>
  </si>
  <si>
    <t>⎛ A ⎞⎛ B,D,E,G,H,J ⎞
⎝ ∅ ⎠⎝  b,d,f,h,j  ⎠</t>
  </si>
  <si>
    <t>| J || A,B,E,G,H || D |
-----------------------
| ∅ || b,d,f,h,j || ∅ |</t>
  </si>
  <si>
    <t>| A || B,D,E,G,H || J |
-----------------------
| ∅ || b,d,f,h,j || ∅ |</t>
  </si>
  <si>
    <t>| ∅ || E,G,H ||  D  || A,B,J |
------------------------------
| b ||   j   || d,f ||   h   |</t>
  </si>
  <si>
    <t>| A ||  B,D,E,H  || G || J |
----------------------------
| ∅ || b,d,f,h,j || ∅ || ∅ |</t>
  </si>
  <si>
    <t>| ∅ || E,G,H ||  D  || A || B,J |
---------------------------------
| b ||   j   || d,f || ∅ ||  h  |</t>
  </si>
  <si>
    <t>| A ||   B,D,E   || G || H || J |
---------------------------------
| ∅ || b,d,f,h,j || ∅ || ∅ || ∅ |</t>
  </si>
  <si>
    <t>⎛ I ⎞⎛       A,C,E,G       ⎞
⎝ ∅ ⎠⎝ a,b,c,d,e,f,g,h,i,j ⎠</t>
  </si>
  <si>
    <t>⎛       A,C,E,G       ⎞⎛ I ⎞
⎝ a,b,c,d,e,f,g,h,i,j ⎠⎝ ∅ ⎠</t>
  </si>
  <si>
    <t>|    A,C,E,G,I    || ∅ || ∅ |
-----------------------------
| a,b,d,e,f,g,i,j || h || c |</t>
  </si>
  <si>
    <t>|      A,C,G,I      || ∅ || E |
-------------------------------
| a,b,d,e,f,g,h,i,j || c || ∅ |</t>
  </si>
  <si>
    <t>|     C,E,G,I     || A || ∅ || ∅ |
----------------------------------
| a,b,d,e,f,g,i,j || ∅ || h || c |</t>
  </si>
  <si>
    <t>|       C,E,G       || A || ∅ || I |
------------------------------------
| a,b,c,d,e,f,g,h,j || ∅ || i || ∅ |</t>
  </si>
  <si>
    <t>|   E,G   || C || ∅ ||     A     || I |
---------------------------------------
| a,e,f,i || ∅ || g || b,c,d,h,j || ∅ |</t>
  </si>
  <si>
    <t>|      C,E,G      || A || ∅ || ∅ || I |
---------------------------------------
| a,b,d,e,f,g,i,j || ∅ || c || h || ∅ |</t>
  </si>
  <si>
    <t>⎛ G ⎞⎛      A,C,E,I      ⎞
⎝ ∅ ⎠⎝ a,b,c,d,e,f,g,h,i ⎠</t>
  </si>
  <si>
    <t>⎛      A,C,E,I      ⎞⎛ G ⎞
⎝ a,b,c,d,e,f,g,h,i ⎠⎝ ∅ ⎠</t>
  </si>
  <si>
    <t>| A || G ||      C,E,I      |
-----------------------------
| h || ∅ || a,b,c,d,e,f,g,i |</t>
  </si>
  <si>
    <t>|      C,E,I      || A || G |
-----------------------------
| a,b,c,d,e,f,g,i || h || ∅ |</t>
  </si>
  <si>
    <t>| A,I || ∅ ||   C,E,G   ||  ∅  |
--------------------------------
|  a  || e || b,d,g,h,i || c,f |</t>
  </si>
  <si>
    <t>|      C,E,I      || A || G || ∅ |
----------------------------------
| a,b,c,d,e,f,g,i || ∅ || ∅ || h |</t>
  </si>
  <si>
    <t>| I || G ||      C,E      || A || ∅ |
-------------------------------------
| a || ∅ || b,c,e,f,g,h,i || ∅ || d |</t>
  </si>
  <si>
    <t>|       E,I       || A || C || G || ∅ |
---------------------------------------
| a,b,c,d,e,f,g,i || ∅ || ∅ || ∅ || h |</t>
  </si>
  <si>
    <t>⎛ G ⎞⎛      A,C,E,I      ⎞
⎝ ∅ ⎠⎝ b,c,d,e,f,g,h,i,j ⎠</t>
  </si>
  <si>
    <t>⎛      A,C,E,I      ⎞⎛ G ⎞
⎝ b,c,d,e,f,g,h,i,j ⎠⎝ ∅ ⎠</t>
  </si>
  <si>
    <t>|     A,C,E,I     || G || ∅ |
-----------------------------
| b,d,e,f,g,h,i,j || ∅ || c |</t>
  </si>
  <si>
    <t>|       A,C,I       || E || G |
-------------------------------
| b,c,d,e,f,g,h,i,j || ∅ || ∅ |</t>
  </si>
  <si>
    <t>| ∅ ||     A,C,I     || ∅ || E,G |
----------------------------------
| b || d,e,f,g,h,i,j || c ||  ∅  |</t>
  </si>
  <si>
    <t>|        A,C        || E || G || I |
------------------------------------
| b,c,d,e,f,g,h,i,j || ∅ || ∅ || ∅ |</t>
  </si>
  <si>
    <t>| ∅ || E,G ||      A,C      || ∅ || I |
---------------------------------------
| b ||  ∅  || c,d,e,f,g,h,j || i || ∅ |</t>
  </si>
  <si>
    <t>|     A,C,I     || ∅ || ∅ || E || G |
-------------------------------------
| d,e,f,g,h,i,j || b || c || ∅ || ∅ |</t>
  </si>
  <si>
    <t>⎛ A ⎞⎛     C,E,G,I     ⎞
⎝ ∅ ⎠⎝ b,c,d,e,f,g,h,i ⎠</t>
  </si>
  <si>
    <t>| I ||      C,E,G      || A |
-----------------------------
| ∅ || b,c,d,e,f,g,h,i || ∅ |</t>
  </si>
  <si>
    <t>| A ||      C,E,G      || I |
-----------------------------
| ∅ || b,c,d,e,f,g,h,i || ∅ |</t>
  </si>
  <si>
    <t>| A || E || I ||     C,G     |
------------------------------
| i || ∅ || c || b,d,e,f,g,h |</t>
  </si>
  <si>
    <t>| A ||     E,G,I     || C || ∅ |
--------------------------------
| ∅ || b,c,e,f,g,h,i || ∅ || d |</t>
  </si>
  <si>
    <t>| E || A || I ||    C,G    || ∅ |
---------------------------------
| ∅ || i || c || b,e,f,g,h || d |</t>
  </si>
  <si>
    <t>| A ||      E,G      || C || ∅ || I |
-------------------------------------
| ∅ || b,c,e,f,g,h,i || ∅ || d || ∅ |</t>
  </si>
  <si>
    <t>⎛ C ⎞⎛    A,E,G,I    ⎞
⎝ ∅ ⎠⎝ a,b,d,e,g,h,j ⎠</t>
  </si>
  <si>
    <t>⎛    A,E,G,I    ⎞⎛ C ⎞
⎝ a,b,d,e,g,h,j ⎠⎝ ∅ ⎠</t>
  </si>
  <si>
    <t>| C,I ||   A,G   ||  E  |
-------------------------
|  a  || e,g,h,j || b,d |</t>
  </si>
  <si>
    <t>|     A,E,G     || C || I |
---------------------------
| a,b,d,e,g,h,j || ∅ || ∅ |</t>
  </si>
  <si>
    <t>| C,I ||    A,G    || ∅ || E |
------------------------------
|  a  || d,e,g,h,j || b || ∅ |</t>
  </si>
  <si>
    <t>|  A,E,G,I  || C || ∅ || ∅ |
----------------------------
| a,b,d,g,j || ∅ || e || h |</t>
  </si>
  <si>
    <t>| C,I || E || ∅ || ∅ ||   A,G   |
---------------------------------
|  a  || ∅ || b || d || e,g,h,j |</t>
  </si>
  <si>
    <t>|   A,E,G   || C || ∅ || ∅ || I |
---------------------------------
| a,b,d,g,j || ∅ || e || h || ∅ |</t>
  </si>
  <si>
    <t>⎛ E ⎞⎛  A,C,G,I  ⎞
⎝ ∅ ⎠⎝ a,c,e,g,i ⎠</t>
  </si>
  <si>
    <t>⎛  A,C,G,I  ⎞⎛ E ⎞
⎝ a,c,e,g,i ⎠⎝ ∅ ⎠</t>
  </si>
  <si>
    <t>| ∅ || E || A,C,G,I |
---------------------
| g || ∅ || a,c,e,i |</t>
  </si>
  <si>
    <t>|   C,G,I   || A || E |
-----------------------
| a,c,e,g,i || ∅ || ∅ |</t>
  </si>
  <si>
    <t>| C ||  A,G  || E || I |
------------------------
| a || c,g,i || ∅ || e |</t>
  </si>
  <si>
    <t>|  C,G,I  || A || E || ∅ |
--------------------------
| a,c,e,i || ∅ || ∅ || g |</t>
  </si>
  <si>
    <t>| C || E || ∅ || ∅ || A,G,I |
-----------------------------
| ∅ || ∅ || c || e || a,g,i |</t>
  </si>
  <si>
    <t>|   G,I   || A || C || E || ∅ |
-------------------------------
| a,c,e,i || ∅ || ∅ || ∅ || g |</t>
  </si>
  <si>
    <t>⎛ I ⎞⎛  A,C,E,G  ⎞
⎝ ∅ ⎠⎝ b,d,f,h,j ⎠</t>
  </si>
  <si>
    <t>⎛  A,C,E,G  ⎞⎛ I ⎞
⎝ b,d,f,h,j ⎠⎝ ∅ ⎠</t>
  </si>
  <si>
    <t>| I || A ||   C,E,G   |
-----------------------
| ∅ || ∅ || b,d,f,h,j |</t>
  </si>
  <si>
    <t>|   A,E,G   || C || I |
-----------------------
| b,d,f,h,j || ∅ || ∅ |</t>
  </si>
  <si>
    <t>| ∅ ||  C,E  || G || A,I |
--------------------------
| b || d,h,j || ∅ ||  f  |</t>
  </si>
  <si>
    <t>| A ||    E,G    || C || I |
----------------------------
| ∅ || b,d,f,h,j || ∅ || ∅ |</t>
  </si>
  <si>
    <t>| ∅ || C ||   E   || A,I || G |
-------------------------------
| b || ∅ || d,h,j ||  f  || ∅ |</t>
  </si>
  <si>
    <t>| A ||     E     || C || G || I |
---------------------------------
| ∅ || b,d,f,h,j || ∅ || ∅ || ∅ |</t>
  </si>
  <si>
    <t>⎛ J ⎞⎛       B,D,F,H       ⎞
⎝ ∅ ⎠⎝ a,b,c,d,e,f,g,h,i,j ⎠</t>
  </si>
  <si>
    <t>⎛      B,D,F,J      ⎞⎛ H ⎞
⎝ a,b,c,d,e,f,g,h,j ⎠⎝ i ⎠</t>
  </si>
  <si>
    <t>| ∅ ||      D,F,J      || B,H |
-------------------------------
| a || b,c,d,e,f,g,h,j ||  i  |</t>
  </si>
  <si>
    <t>|      B,D,F,H      || ∅ || J |
-------------------------------
| a,b,c,d,e,f,g,h,i || j || ∅ |</t>
  </si>
  <si>
    <t>|  ∅  ||  B,D,H,J  || ∅ ||  F  |
--------------------------------
| c,h || d,e,f,g,i || b || a,j |</t>
  </si>
  <si>
    <t>|     B,D,F,H     || ∅ || ∅ || J |
----------------------------------
| a,b,c,e,f,g,h,i || d || j || ∅ |</t>
  </si>
  <si>
    <t>| ∅ ||    B    ||  D,H,J  || F || ∅ |
-------------------------------------
| h || a,f,g,j || b,c,e,i || ∅ || d |</t>
  </si>
  <si>
    <t>|       D       ||  B  || H || F || J |
---------------------------------------
| a,b,d,e,g,h,i || f,j || c || ∅ || ∅ |</t>
  </si>
  <si>
    <t>⎛ J ⎞⎛      B,D,F,H      ⎞
⎝ ∅ ⎠⎝ a,b,c,d,e,f,g,h,i ⎠</t>
  </si>
  <si>
    <t>⎛      B,D,F,H      ⎞⎛ J ⎞
⎝ a,b,c,d,e,f,g,h,i ⎠⎝ ∅ ⎠</t>
  </si>
  <si>
    <t>| J || B ||       D,F,H       |
-------------------------------
| ∅ || ∅ || a,b,c,d,e,f,g,h,i |</t>
  </si>
  <si>
    <t>|     B,D,F,H     || ∅ || J |
-----------------------------
| a,b,c,e,f,g,h,i || d || ∅ |</t>
  </si>
  <si>
    <t>| ∅ || B ||      D,F,H      || J |
----------------------------------
| d || ∅ || a,b,c,e,f,g,h,i || ∅ |</t>
  </si>
  <si>
    <t>|      B,D,H      || ∅ || F || J |
----------------------------------
| a,b,c,e,f,g,h,i || d || ∅ || ∅ |</t>
  </si>
  <si>
    <t>| F ||    B    ||   D,H   || J || ∅ |
-------------------------------------
| ∅ || a,f,g,h || b,c,e,i || ∅ || d |</t>
  </si>
  <si>
    <t>|       D,H       || B || ∅ || F || J |
---------------------------------------
| a,b,c,e,f,g,h,i || ∅ || d || ∅ || ∅ |</t>
  </si>
  <si>
    <t>⎛ F ⎞⎛      B,D,H,J      ⎞
⎝ ∅ ⎠⎝ b,c,d,e,f,g,h,i,j ⎠</t>
  </si>
  <si>
    <t>⎛      B,D,H,J      ⎞⎛ F ⎞
⎝ b,c,d,e,f,g,h,i,j ⎠⎝ ∅ ⎠</t>
  </si>
  <si>
    <t>| ∅ || B,F ||     D,H,J     |
-----------------------------
| b ||  i  || c,d,e,f,g,h,j |</t>
  </si>
  <si>
    <t>|       B,D,J       || F || H |
-------------------------------
| b,c,d,e,f,g,h,i,j || ∅ || ∅ |</t>
  </si>
  <si>
    <t>| J || B ||      D,F,H      || ∅ |
----------------------------------
| ∅ || ∅ || b,c,e,f,g,h,i,j || d |</t>
  </si>
  <si>
    <t>|        D,J        || B || F || H |
------------------------------------
| b,c,d,e,f,g,h,i,j || ∅ || ∅ || ∅ |</t>
  </si>
  <si>
    <t>| ∅ || F,H ||  J  ||      D      || B |
---------------------------------------
| b ||  ∅  || c,j || d,e,f,g,h,i || ∅ |</t>
  </si>
  <si>
    <t>|       D,J       || B || F || H || ∅ |
---------------------------------------
| b,c,d,e,f,g,h,j || ∅ || ∅ || ∅ || i |</t>
  </si>
  <si>
    <t>⎛ H ⎞⎛     B,D,F,J     ⎞
⎝ ∅ ⎠⎝ b,c,d,e,f,g,h,i ⎠</t>
  </si>
  <si>
    <t>⎛     B,D,F,J     ⎞⎛ H ⎞
⎝ b,c,d,e,f,g,h,i ⎠⎝ ∅ ⎠</t>
  </si>
  <si>
    <t>|    B,D,J    || F ||  H  |
---------------------------
| b,d,e,f,g,i || ∅ || c,h |</t>
  </si>
  <si>
    <t>|      D,F,J      || B || H |
-----------------------------
| b,c,d,e,f,g,h,i || ∅ || ∅ |</t>
  </si>
  <si>
    <t>|    B,D,J    || H ||  ∅  || F |
--------------------------------
| b,d,e,f,g,i || ∅ || c,h || ∅ |</t>
  </si>
  <si>
    <t>| ∅ || B ||   D,F,H,J   || ∅ |
------------------------------
| b || ∅ || c,d,e,f,g,h || i |</t>
  </si>
  <si>
    <t>|    B,D    || H ||  J  || F || ∅ |
-----------------------------------
| d,f,g,h,i || ∅ || b,c || ∅ || e |</t>
  </si>
  <si>
    <t>| ∅ || B ||    D,F,J    || H || ∅ |
-----------------------------------
| b || ∅ || c,d,e,f,g,h || ∅ || i |</t>
  </si>
  <si>
    <t>⎛ J ⎞⎛    B,D,F,H    ⎞
⎝ ∅ ⎠⎝ a,b,d,e,g,h,j ⎠</t>
  </si>
  <si>
    <t>⎛    B,D,F,H    ⎞⎛ J ⎞
⎝ a,b,d,e,g,h,j ⎠⎝ ∅ ⎠</t>
  </si>
  <si>
    <t>| J ||  B,D,F,H  ||  ∅  |
-------------------------
| ∅ || b,d,e,g,h || a,j |</t>
  </si>
  <si>
    <t>|     B,D,F     || H || J |
---------------------------
| a,b,d,e,g,h,j || ∅ || ∅ |</t>
  </si>
  <si>
    <t>| J ||  H  || ∅ ||  B,D,F  |
----------------------------
| ∅ || e,h || j || a,b,d,g |</t>
  </si>
  <si>
    <t>|   D,F,H   || B || ∅ || J |
----------------------------
| a,b,d,e,g || h || j || ∅ |</t>
  </si>
  <si>
    <t>|    F    || D,H || ∅ || B || J |
---------------------------------
| a,d,g,j || e,h || b || ∅ || ∅ |</t>
  </si>
  <si>
    <t>|   D,F,H   || B || ∅ || ∅ || J |
---------------------------------
| a,b,d,e,g || ∅ || h || j || ∅ |</t>
  </si>
  <si>
    <t>⎛ F ⎞⎛  B,D,H,J  ⎞
⎝ ∅ ⎠⎝ a,c,e,g,i ⎠</t>
  </si>
  <si>
    <t>⎛  B,D,H,J  ⎞⎛ F ⎞
⎝ a,c,e,g,i ⎠⎝ ∅ ⎠</t>
  </si>
  <si>
    <t>| J || B,D,H ||  F  |
---------------------
| ∅ || e,g,i || a,c |</t>
  </si>
  <si>
    <t>|   B,D,H   || F || J |
-----------------------
| a,c,e,g,i || ∅ || ∅ |</t>
  </si>
  <si>
    <t>| D,J || B || F,H || ∅ |
------------------------
| a,g || ∅ || c,i || e |</t>
  </si>
  <si>
    <t>| ∅ || B,D,H || F || J |
------------------------
| a || e,g,i || c || ∅ |</t>
  </si>
  <si>
    <t>| J || B,H || F || ∅ ||  D  |
-----------------------------
| ∅ ||  i  || c || e || a,g |</t>
  </si>
  <si>
    <t>| ∅ || B || F ||  D,H  || J |
-----------------------------
| a || ∅ || c || e,g,i || ∅ |</t>
  </si>
  <si>
    <t>⎛ F ⎞⎛  B,D,H,J  ⎞
⎝ ∅ ⎠⎝ b,d,f,h,j ⎠</t>
  </si>
  <si>
    <t>⎛  B,D,H,J  ⎞⎛ F ⎞
⎝ b,d,f,h,j ⎠⎝ ∅ ⎠</t>
  </si>
  <si>
    <t>|  H  || B,F,J ||  D  |
-----------------------
| b,j ||   h   || d,f |</t>
  </si>
  <si>
    <t>|   B,D,H   || F || J |
-----------------------
| b,d,f,h,j || ∅ || ∅ |</t>
  </si>
  <si>
    <t>|  H  || B,F,J || D || ∅ |
--------------------------
| b,j ||   h   || d || f |</t>
  </si>
  <si>
    <t>|  B,D,H  || F || ∅ || J |
--------------------------
| b,d,f,h || ∅ || j || ∅ |</t>
  </si>
  <si>
    <t>|  H  || B || D || ∅ || F,J |
-----------------------------
| b,j || ∅ || d || f ||  h  |</t>
  </si>
  <si>
    <t>|   B,D   || F || H || ∅ || J |
-------------------------------
| b,d,f,h || ∅ || ∅ || j || ∅ |</t>
  </si>
  <si>
    <t>100000000000000</t>
  </si>
  <si>
    <t>ABCDEFGHIJKLMNO</t>
  </si>
  <si>
    <t>⎛ ∅ ⎞⎛ A,B,C,D,E,F,G,H,I,J,K,L,M,N,O ⎞
⎝ b ⎠⎝  a,c,d,e,f,g,h,i,j,k,l,m,n,o  ⎠</t>
  </si>
  <si>
    <t>⎛       A       ⎞⎛ B,C,D,E,F,G,H,I,J,K,L,M,N,O ⎞
⎝ b,d,f,h,j,l,n ⎠⎝       a,c,e,g,i,k,m,o       ⎠</t>
  </si>
  <si>
    <t>|  A,E,F,H  || B,C,D,G,I,J,K,L,M,N,O ||   ∅   |
-----------------------------------------------
| a,e,f,m,n ||     b,c,g,h,j,k,o     || d,i,l |</t>
  </si>
  <si>
    <t>| ∅ || A,B,C,D,E,F,G,H,I,J,K,L,M,N,O ||    ∅    |
-------------------------------------------------
| a ||      b,c,d,e,f,g,h,i,l,o      || j,k,m,n |</t>
  </si>
  <si>
    <t>|   ∅   || B ||  F,O  || A,C,D,E,G,H,I,J,K,L,M,N |
--------------------------------------------------
| f,i,n || h || b,d,l ||     a,c,e,g,j,k,m,o     |</t>
  </si>
  <si>
    <t>| A || B,D,E,F,G,H,I,J,K,L,M,N,O || C ||    ∅    |
--------------------------------------------------
| ∅ ||   a,b,c,d,e,f,h,i,j,l,m   || ∅ || g,k,n,o |</t>
  </si>
  <si>
    <t>|  ∅  || B,L,O || ∅ || A,C,D,E,F,G,H,I,J,K,N ||  M  |
-----------------------------------------------------
| a,m ||  h,o  || l ||    b,c,f,g,i,j,k,n    || d,e |</t>
  </si>
  <si>
    <t>| A || ∅ || B,C,D,E,F,G,H,I,J,K,L,M,N,O || ∅ ||   ∅   |
-------------------------------------------------------
| ∅ || a ||     b,c,d,e,f,g,h,i,j,o     || k || l,m,n |</t>
  </si>
  <si>
    <t>ABCDEFGHIJKLMN</t>
  </si>
  <si>
    <t>⎛ ∅ ⎞⎛ A,B,C,D,E,F,G,H,I,J,K,L,M,N,O ⎞
⎝ b ⎠⎝   a,c,d,e,f,g,h,i,j,k,l,m,n   ⎠</t>
  </si>
  <si>
    <t>⎛ A,C,D,E,F,G,H,I,J,K,L,M,N,O ⎞⎛       B       ⎞
⎝        b,d,f,h,j,l,n        ⎠⎝ a,c,e,g,i,k,m ⎠</t>
  </si>
  <si>
    <t>|     ∅     || A,B,C,D,E,F,G,H,I,J,K,L,M,N,O ||  ∅  |
-----------------------------------------------------
| a,c,f,g,k ||         b,d,e,h,j,l,m         || i,n |</t>
  </si>
  <si>
    <t>| A,B,C,D,E,F,G,H,I,J,K,L,M,N,O || ∅ ||   ∅   |
-----------------------------------------------
|      b,c,d,f,g,h,i,j,k,n      || a || e,l,m |</t>
  </si>
  <si>
    <t>| ∅ || A,B,C,E,F,G,H,I,J,K,O || ∅ || D,L,M,N |
----------------------------------------------
| a ||  d,e,f,g,h,i,j,l,m,n  || b ||   c,k   |</t>
  </si>
  <si>
    <t>| ∅ || A,B,C,D,E,F,G,H,I,J,K,L,M,N,O || ∅ ||  ∅  |
--------------------------------------------------
| a ||      e,f,g,h,i,j,k,l,m,n      || b || c,d |</t>
  </si>
  <si>
    <t>| ∅ ||    B,C,E,G,I,K,L,N    || ∅ || A,D,F,H || J,M,O |
-------------------------------------------------------
| a || c,d,e,f,h,i,j,k,l,m,n || b ||    g    ||   ∅   |</t>
  </si>
  <si>
    <t>| A,B,C,D,E,F,G,H,I,J,K,L,M,N,O || ∅ || ∅ || ∅ || ∅ |
-----------------------------------------------------
|      d,e,f,g,h,i,j,k,l,m      || a || b || c || n |</t>
  </si>
  <si>
    <t>BCDEFGHIJKLMNO</t>
  </si>
  <si>
    <t>⎛ ∅ ⎞⎛ A,B,C,D,E,F,G,H,I,J,K,L,M,N,O ⎞
⎝ d ⎠⎝   b,c,e,f,g,h,i,j,k,l,m,n,o   ⎠</t>
  </si>
  <si>
    <t>⎛ A,B,D,E,F,G,H,I,J,K,L,M,N,O ⎞⎛       C       ⎞
⎝        c,e,g,i,k,m,o        ⎠⎝ b,d,f,h,j,l,n ⎠</t>
  </si>
  <si>
    <t>| J || B,F,G,M,N ||  A,C,D,E,H,I,K,L,O  |
-----------------------------------------
| ∅ ||  b,d,i,j  || c,e,f,g,h,k,l,m,n,o |</t>
  </si>
  <si>
    <t>| A,B,C,D,E,F,G,H,I,J,K,L,M,N,O || ∅ ||   ∅   |
-----------------------------------------------
|      c,d,e,f,g,h,i,j,l,o      || b || k,m,n |</t>
  </si>
  <si>
    <t>| ∅ || A,C,E,J,M,N || B,D,G,H,I,K,L,O ||  F  |
----------------------------------------------
| i ||   e,f,m,n   ||  b,c,g,h,j,k,o  || d,l |</t>
  </si>
  <si>
    <t>| A,B,C,D,E,F,G,H,I,J,K,L,M,N,O || ∅ ||  ∅  || ∅ |
--------------------------------------------------
|      b,c,d,f,g,h,i,j,k,n      || e || l,m || o |</t>
  </si>
  <si>
    <t>| F,J,L,N,O ||   A,B,C,D,E,I,M   || G || K || H |
-------------------------------------------------
|  b,d,j,l  || c,e,f,g,h,i,m,n,o || k || ∅ || ∅ |</t>
  </si>
  <si>
    <t>| A,B,C,D,E,F,G,H,I,J,K,L,M,N,O || ∅ || ∅ || ∅ || ∅ |
-----------------------------------------------------
|      c,d,e,g,h,i,j,k,l,o      || b || f || m || n |</t>
  </si>
  <si>
    <t>BCDEFGHIJKLMN</t>
  </si>
  <si>
    <t>⎛ ∅ ⎞⎛ A,B,C,D,E,F,G,H,I,J,K,L,M,N,O ⎞
⎝ d ⎠⎝    b,c,e,f,g,h,i,j,k,l,m,n    ⎠</t>
  </si>
  <si>
    <t>⎛ A,B,C,D,E,F,G,H,I,J,K,L,M,N,O ⎞⎛ ∅ ⎞
⎝    b,c,d,e,f,g,h,i,j,k,l,m    ⎠⎝ n ⎠</t>
  </si>
  <si>
    <t>| ∅ ||  A,O  || B,C,D,E,F,G,H,I,J,K,L,M,N |
-------------------------------------------
| n || d,i,l ||     b,c,e,f,g,h,j,k,m     |</t>
  </si>
  <si>
    <t>| A,B,C,D,E,F,G,H,I,J,K,L,M,N,O || ∅ || ∅ |
-------------------------------------------
|     c,d,e,f,g,h,i,j,k,l,m     || b || n |</t>
  </si>
  <si>
    <t>| ∅ ||  D  || E,G,J,L,N || A,B,C,F,H,I,K,M,O |
----------------------------------------------
| n || b,j ||   c,g,k   ||   d,e,f,h,i,l,m   |</t>
  </si>
  <si>
    <t>| A,B,C,D,E,F,G,H,I,J,K,L,M,N,O ||  ∅  || ∅ || ∅ |
--------------------------------------------------
|       b,c,g,h,i,j,k,l,n       || d,e || f || m |</t>
  </si>
  <si>
    <t>| ∅ || A,C,D || E,G || N || B,F,H,I,J,K,L,M,O |
-----------------------------------------------
| n ||  b,j  || c,k || ∅ ||  d,e,f,g,h,i,l,m  |</t>
  </si>
  <si>
    <t>| A,B,C,E,F,G,H,I,J,K,L,M,N,O || ∅ || D || ∅ || ∅ |
---------------------------------------------------
|     b,d,e,f,g,h,i,l,m,n     || c || ∅ || j || k |</t>
  </si>
  <si>
    <t>ABDEGHJKMN</t>
  </si>
  <si>
    <t>⎛ O ⎞⎛ A,B,C,D,E,F,G,H,I,J,K,L,M,N ⎞
⎝ ∅ ⎠⎝     a,b,d,e,g,h,j,k,m,n     ⎠</t>
  </si>
  <si>
    <t>⎛ A,B,C,E,F,G,H,I,J,K,L,M,N,O ⎞⎛ D ⎞
⎝     a,b,d,e,g,h,j,k,m,n     ⎠⎝ ∅ ⎠</t>
  </si>
  <si>
    <t>| C,G,H,I,J,K,M || A,L,O || B,D,E,F,N |
---------------------------------------
|    e,g,m,n    || a,d,h ||   b,j,k   |
Perdida mínima ( φ ) = 0,0670</t>
  </si>
  <si>
    <t>| A,C,E,F,G,H,I,J,K,L,M,N,O || B || D |
---------------------------------------
|    a,b,d,e,g,h,j,k,m,n    || ∅ || ∅ |</t>
  </si>
  <si>
    <t>|   E,H   || A,K,N,O || B,C,D,F,G,I,J,M || L |
----------------------------------------------
| a,e,g,m ||    h    ||    b,d,j,k,n    || ∅ |</t>
  </si>
  <si>
    <t>| A,C,E,F,G,H,I,J,K,M,N,O || B || D || L |
------------------------------------------
|   a,b,d,e,g,h,j,k,m,n   || ∅ || ∅ || ∅ |</t>
  </si>
  <si>
    <t>| H,N,O || A || L || D,F,G,J,M || B,C,E,I,K |
---------------------------------------------
|  a,g  || h || k ||   b,d,j   ||   e,m,n   |</t>
  </si>
  <si>
    <t>|   K   || A,B,D,E,F,G,H,I,J,L,M || C || N || O |
-------------------------------------------------
| a,k,m ||     b,d,e,g,h,j,n     || ∅ || ∅ || ∅ |</t>
  </si>
  <si>
    <t>ACEGIKMO</t>
  </si>
  <si>
    <t>⎛ L ⎞⎛ A,B,C,D,E,F,G,H,I,J,K,M,N,O ⎞
⎝ ∅ ⎠⎝       a,c,e,g,i,k,m,o       ⎠</t>
  </si>
  <si>
    <t>⎛ A,B,C,D,E,F,G,H,I,J,K,L,M,O ⎞⎛ N ⎞
⎝       a,c,e,g,i,k,m,o       ⎠⎝ ∅ ⎠</t>
  </si>
  <si>
    <t>| A,B,C,D,E,F,G,H,I,J,K,M,N,O ||  L  || ∅ |
-------------------------------------------
|          a,c,g,k,o          || e,m || i |</t>
  </si>
  <si>
    <t>| A,B,C,D,E,F,G,H,I,J,K,L,O || M || N |
---------------------------------------
|      a,c,e,g,i,k,m,o      || ∅ || ∅ |</t>
  </si>
  <si>
    <t>| C,D,H,M,O || ∅ || ∅ || A,B,E,F,G,I,J,K,L,N |
----------------------------------------------
|   a,g,o   || k || c ||        e,i,m        |</t>
  </si>
  <si>
    <t>| A,B,C,D,E,F,G,H,I,J,K,L || M || N || O |
------------------------------------------
|     a,c,e,g,i,k,m,o     || ∅ || ∅ || ∅ |</t>
  </si>
  <si>
    <t>| ∅ || ∅ || ∅ || A,B,E,F,G,H,J,K,L || C,D,I,M,N,O |
---------------------------------------------------
| a || k || c ||       e,i,m       ||     g,o     |</t>
  </si>
  <si>
    <t>| A,B,C,D,E,F,G,I,J,K,L || H || M || N || O |
---------------------------------------------
|    a,c,e,g,i,k,m,o    || ∅ || ∅ || ∅ || ∅ |</t>
  </si>
  <si>
    <t>BDFHJLN</t>
  </si>
  <si>
    <t>⎛ G ⎞⎛ A,B,C,D,E,F,H,I,J,K,L,M,N,O ⎞
⎝ ∅ ⎠⎝        b,d,f,h,j,l,n        ⎠</t>
  </si>
  <si>
    <t>⎛ A,B,C,D,E,F,G,H,I,J,K,M,N,O ⎞⎛ L ⎞
⎝        b,d,f,h,j,l,n        ⎠⎝ ∅ ⎠</t>
  </si>
  <si>
    <t>| B,E,F,I,J,L,M,N,O || K || A,C,D,G,H |
---------------------------------------
|     b,f,h,j,n     || ∅ ||    d,l    |</t>
  </si>
  <si>
    <t>| A,B,C,D,E,F,G,I,J,K,M,N,O || H || L |
---------------------------------------
|       b,d,f,h,j,l,n       || ∅ || ∅ |</t>
  </si>
  <si>
    <t>| B,C,F,H,I,J,L,M,N,O || A || D || E,G,K |
------------------------------------------
|      b,d,h,j,l      || ∅ || ∅ ||  f,n  |</t>
  </si>
  <si>
    <t>| A,B,C,D,E,G,I,J,K,M,N,O || F || H || L |
------------------------------------------
|      b,d,f,h,j,l,n      || ∅ || ∅ || ∅ |</t>
  </si>
  <si>
    <t>| C || A,E || B,D,F,G,H,I,K,M,N,O ||  J  || L |
-----------------------------------------------
| ∅ || b,j ||        d,h,l        || f,n || ∅ |</t>
  </si>
  <si>
    <t>| A,B,C,D,G,I,J,K,M,N,O || E || F || H || L |
---------------------------------------------
|     b,d,f,h,j,l,n     || ∅ || ∅ || ∅ || ∅ |</t>
  </si>
  <si>
    <t>⎛ ∅ ⎞⎛ A,B,C,D,E,F,G,H,I,J,K,L,M,N ⎞
⎝ b ⎠⎝ a,c,d,e,f,g,h,i,j,k,l,m,n,o ⎠</t>
  </si>
  <si>
    <t>⎛        A        ⎞⎛ B,C,D,E,F,G,H,I,J,K,L,M,N ⎞
⎝ a,c,e,g,i,k,m,o ⎠⎝       b,d,f,h,j,l,n       ⎠</t>
  </si>
  <si>
    <t>| H ||  D,F,G,I  ||  A,B,C,E,J,K,L,M,N  |
-----------------------------------------
| ∅ || c,g,i,k,o || a,b,d,e,f,h,j,l,m,n |</t>
  </si>
  <si>
    <t>| ∅ || A,B,C,D,E,F,G,H,I,J,K,L,M,N ||    ∅    |
-----------------------------------------------
| a ||     b,c,d,e,f,h,i,j,l,m     || g,k,n,o |</t>
  </si>
  <si>
    <t>|   C,H   || L,M || ∅ || A,B,D,E,F,G,I,J,K,N |
----------------------------------------------
| a,f,m,n ||  h  || e ||  b,c,d,g,i,j,k,l,o  |</t>
  </si>
  <si>
    <t>| ∅ || A,B,C,D,E,F,G,H,I,J,K,L,M,N || ∅ ||   ∅   |
--------------------------------------------------
| a ||     b,c,d,f,g,h,i,j,k,n     || e || l,m,o |</t>
  </si>
  <si>
    <t>| ∅ || I,K || ∅ || A,D,G,N ||   B,C,E,F,H,J,L,M   |
---------------------------------------------------
| a ||  ∅  || b ||  c,j,k  || d,e,f,g,h,i,l,m,n,o |</t>
  </si>
  <si>
    <t>| ∅ || A,B,C,D,E,F,G,H,I,J,K,L,M,N || ∅ ||  ∅  || ∅ |
-----------------------------------------------------
| a ||     c,d,e,f,g,h,i,j,k,l     || b || m,n || o |</t>
  </si>
  <si>
    <t>⎛ ∅ ⎞⎛ A,B,C,D,E,F,G,H,I,J,K,L,M,N ⎞
⎝ b ⎠⎝  a,c,d,e,f,g,h,i,j,k,l,m,n  ⎠</t>
  </si>
  <si>
    <t>⎛       A       ⎞⎛ B,C,D,E,F,G,H,I,J,K,L,M,N ⎞
⎝ a,c,e,g,i,k,m ⎠⎝       b,d,f,h,j,l,n       ⎠</t>
  </si>
  <si>
    <t>| H,I,J,L || F,G ||   A,B,C,D,E,K,M,N   |
-----------------------------------------
|  a,g,n  ||  e  || b,c,d,f,h,i,j,k,l,m |</t>
  </si>
  <si>
    <t>| ∅ || A,B,C,D,E,F,G,H,I,J,K,L,M,N ||   ∅   |
---------------------------------------------
| a ||     b,c,d,e,f,h,i,j,l,m     || g,k,n |</t>
  </si>
  <si>
    <t>| ∅ || A,B,K,M,N || F ||    C,D,E,G,H,I,J,L    |
------------------------------------------------
| a ||    d,l    || ∅ || b,c,e,f,g,h,i,j,k,m,n |</t>
  </si>
  <si>
    <t>| A,B,C,D,E,F,G,H,I,J,K,L,M,N ||  ∅  || ∅ || ∅ |
------------------------------------------------
|     d,e,f,g,h,i,j,k,l,m     || a,c || b || n |</t>
  </si>
  <si>
    <t>| ∅ ||    B,C,E,G,I,K,L,N    || ∅ || D,H || A,F,J,M |
-----------------------------------------------------
| a || c,d,e,f,h,i,j,k,l,m,n || b ||  g  ||    ∅    |</t>
  </si>
  <si>
    <t>| ∅ || A,B,C,D,E,F,G,H,I,J,K,L,M,N || ∅ || ∅ || ∅ |
---------------------------------------------------
| a ||     d,e,f,g,h,i,j,k,l,m     || b || c || n |</t>
  </si>
  <si>
    <t>⎛ ∅ ⎞⎛ A,B,C,D,E,F,G,H,I,J,K,L,M,N ⎞
⎝ d ⎠⎝  b,c,e,f,g,h,i,j,k,l,m,n,o  ⎠</t>
  </si>
  <si>
    <t>⎛       A       ⎞⎛ B,C,D,E,F,G,H,I,J,K,L,M,N ⎞
⎝ b,d,f,h,j,l,n ⎠⎝       c,e,g,i,k,m,o       ⎠</t>
  </si>
  <si>
    <t>| C || A,B,D,F,G,H,I,J,L,M,N ||  E,K  |
---------------------------------------
| ∅ || b,d,e,g,h,i,j,l,m,n,o || c,f,k |</t>
  </si>
  <si>
    <t>| A,B,C,D,E,F,G,H,I,J,K,L,M,N || ∅ ||   ∅   |
---------------------------------------------
|     b,c,d,f,g,h,i,j,k,n     || e || l,m,o |</t>
  </si>
  <si>
    <t>| B,D,E,F,J,L,M,N ||  ∅  || A,C,G,H,I,K || ∅ |
----------------------------------------------
|   b,d,h,j,l,m   || f,n ||  c,g,i,k,o  || e |</t>
  </si>
  <si>
    <t>| A,B,C,D,E,F,G,H,I,J,K,L,M,N || ∅ ||  ∅  || ∅ |
------------------------------------------------
|     b,c,e,g,h,i,j,k,l,o     || d || f,m || n |</t>
  </si>
  <si>
    <t>| B,F,I,J,L,N || A,C,D,E,G,K,M ||   ∅   || H || ∅ |
---------------------------------------------------
|  b,d,h,j,l  ||   e,f,g,m,n   || c,i,k || ∅ || o |</t>
  </si>
  <si>
    <t>| A,B,C,D,E,F,G,H,I,J,K,L,M,N || ∅ || ∅ || ∅ || ∅ |
---------------------------------------------------
|     b,c,d,f,g,h,i,j,k,l     || e || m || n || o |</t>
  </si>
  <si>
    <t>⎛ ∅ ⎞⎛ A,B,C,D,E,F,G,H,I,J,K,L,M,N ⎞
⎝ d ⎠⎝   b,c,e,f,g,h,i,j,k,l,m,n   ⎠</t>
  </si>
  <si>
    <t>⎛      A      ⎞⎛ B,C,D,E,F,G,H,I,J,K,L,M,N ⎞
⎝ c,e,g,i,k,m ⎠⎝       b,d,f,h,j,l,n       ⎠</t>
  </si>
  <si>
    <t>|   E   || A,B,F || C,D,G,H,I,J,K,L,M,N |
-----------------------------------------
| e,f,m ||  d,l  ||   b,c,g,h,i,j,k,n   |</t>
  </si>
  <si>
    <t>| A,B,C,D,E,F,G,H,I,J,K,L,M,N || ∅ || ∅ |
-----------------------------------------
|    b,c,d,e,f,g,h,i,j,k,n    || l || m |</t>
  </si>
  <si>
    <t>| G,K || D || E,J,N || A,B,C,F,H,I,L,M |
----------------------------------------
| f,n || j || c,g,k ||  b,d,e,h,i,l,m  |</t>
  </si>
  <si>
    <t>| A,B,C,D,E,F,G,H,I,J,K,L,M,N || ∅ || ∅ || ∅ |
----------------------------------------------
|     b,c,d,f,h,i,j,k,l,m     || e || g || n |</t>
  </si>
  <si>
    <t>| ∅ || A,C,D || E,G || N || B,F,H,I,J,K,L,M |
---------------------------------------------
| n ||  b,j  || c,k || ∅ || d,e,f,g,h,i,l,m |</t>
  </si>
  <si>
    <t>| A,B,C,D,E,F,G,H,I,J,K,L,M,N || ∅ || ∅ ||  ∅  || ∅ |
-----------------------------------------------------
|       c,d,g,h,i,j,k,l       || b || e || f,m || n |</t>
  </si>
  <si>
    <t>⎛ N ⎞⎛ A,B,C,D,E,F,G,H,I,J,K,L,M ⎞
⎝ ∅ ⎠⎝    a,b,d,e,g,h,j,k,m,n    ⎠</t>
  </si>
  <si>
    <t>⎛ A,B,C,E,F,G,H,I,J,K,L,M,N ⎞⎛ D ⎞
⎝    a,b,d,e,g,h,j,k,m,n    ⎠⎝ ∅ ⎠</t>
  </si>
  <si>
    <t>| A,C,H,I,J,K,M || L || B,D,E,F,G,N |
-------------------------------------
|  a,e,g,h,m,n  || d ||    b,j,k    |</t>
  </si>
  <si>
    <t>| A,C,E,F,G,H,I,J,K,L,M,N || B || D |
-------------------------------------
|   a,b,d,e,g,h,j,k,m,n   || ∅ || ∅ |</t>
  </si>
  <si>
    <t>| C,E,H,I,J,M || A,G,K,N || B,D,F || L |
----------------------------------------
|   e,g,m,n   ||  a,d,h  || b,j,k || ∅ |</t>
  </si>
  <si>
    <t>| A,C,E,F,G,H,I,J,K,M,N || B || D || L |
----------------------------------------
|  a,b,d,e,g,h,j,k,m,n  || ∅ || ∅ || ∅ |</t>
  </si>
  <si>
    <t>| H,L,N || A || ∅ || D,F,G,J,M || B,C,E,I,K |
---------------------------------------------
|   a   || h || k ||   b,d,j   ||  e,g,m,n  |</t>
  </si>
  <si>
    <t>| ∅ || A,C,E,F,G,H,I,M || B,J,K || D || L,N |
---------------------------------------------
| a ||    b,d,e,g,h    ||  j,k  || ∅ || m,n |</t>
  </si>
  <si>
    <t>⎛ L ⎞⎛ A,B,C,D,E,F,G,H,I,J,K,M,N ⎞
⎝ ∅ ⎠⎝      a,c,e,g,i,k,m,o      ⎠</t>
  </si>
  <si>
    <t>⎛ A,B,C,D,E,F,G,H,I,J,K,L,M ⎞⎛ N ⎞
⎝      a,c,e,g,i,k,m,o      ⎠⎝ ∅ ⎠</t>
  </si>
  <si>
    <t>|  C,H  || F,L,N || A,B,D,E,G,I,J,K,M |
---------------------------------------
| a,g,o ||  e,m  ||       c,i,k       |</t>
  </si>
  <si>
    <t>| A,B,C,D,E,F,G,H,I,J,K,L || M || N |
-------------------------------------
|     a,c,e,g,i,k,m,o     || ∅ || ∅ |</t>
  </si>
  <si>
    <t>| C,D,H,M || ∅ || ∅ || A,B,E,F,G,I,J,K,L,N |
--------------------------------------------
|  a,g,o  || k || c ||        e,i,m        |</t>
  </si>
  <si>
    <t>| A,B,C,D,E,F,G,I,J,K,L || H || M || N |
----------------------------------------
|    a,c,e,g,i,k,m,o    || ∅ || ∅ || ∅ |</t>
  </si>
  <si>
    <t>| ∅ || B || ∅ || A,E,L || C,D,F,G,H,I,J,K,M,N |
-----------------------------------------------
| a || ∅ || c ||  e,m  ||       g,i,k,o       |</t>
  </si>
  <si>
    <t>| A,B,C,D,E,G,I,J,K,L || F || H || M || N |
-------------------------------------------
|   a,c,e,g,i,k,m,o   || ∅ || ∅ || ∅ || ∅ |</t>
  </si>
  <si>
    <t>⎛ G ⎞⎛ A,B,C,D,E,F,H,I,J,K,L,M,N ⎞
⎝ ∅ ⎠⎝       b,d,f,h,j,l,n       ⎠</t>
  </si>
  <si>
    <t>⎛ A,B,C,D,E,F,G,H,I,J,K,M,N ⎞⎛ L ⎞
⎝       b,d,f,h,j,l,n       ⎠⎝ ∅ ⎠</t>
  </si>
  <si>
    <t>| B,C,E,F,H,I,J,L,M,N || K || A,D,G |
-------------------------------------
|     b,f,h,j,l,n     || ∅ ||   d   |</t>
  </si>
  <si>
    <t>| A,B,C,D,E,F,G,I,J,K,M,N || H || L |
-------------------------------------
|      b,d,f,h,j,l,n      || ∅ || ∅ |</t>
  </si>
  <si>
    <t>| B,C,E,F,G,H,I,J,L,M || A || N || D,K |
----------------------------------------
|      b,d,h,j,l      || ∅ || ∅ || f,n |</t>
  </si>
  <si>
    <t>| A,B,C,D,E,G,I,J,K,M,N || F || H || L |
----------------------------------------
|     b,d,f,h,j,l,n     || ∅ || ∅ || ∅ |</t>
  </si>
  <si>
    <t>| ∅ || A || B,C,D,F,G,I,J,K,M,N || E,H || L |
---------------------------------------------
| j || ∅ ||       b,d,h,l       || f,n || ∅ |</t>
  </si>
  <si>
    <t>| A,B,C,D,G,I,J,K,M,N || E || F || H || L |
-------------------------------------------
|    b,d,f,h,j,l,n    || ∅ || ∅ || ∅ || ∅ |</t>
  </si>
  <si>
    <t>⎛ ∅ ⎞⎛ B,C,D,E,F,G,H,I,J,K,L,M,N,O ⎞
⎝ b ⎠⎝ a,c,d,e,f,g,h,i,j,k,l,m,n,o ⎠</t>
  </si>
  <si>
    <t>⎛ B,C,D,E,F,H,I,J,K,L,M,N,O ⎞⎛       G       ⎞
⎝      a,c,e,g,i,k,m,o      ⎠⎝ b,d,f,h,j,l,n ⎠</t>
  </si>
  <si>
    <t>|   J,O   || B,C,D,E,F,G,H,I,L,M,N || K |
-----------------------------------------
| a,d,g,l ||  c,e,f,h,i,j,k,m,n,o  || b |</t>
  </si>
  <si>
    <t>| B,C,D,E,F,G,H,I,J,K,L,M,N,O ||   ∅   || ∅ |
---------------------------------------------
|    a,b,c,d,e,f,h,i,j,l,m    || g,k,o || n |</t>
  </si>
  <si>
    <t>| ∅ ||  B,I,L,M  || ∅ || C,D,E,F,G,H,J,K,N,O |
----------------------------------------------
| l || e,g,h,m,o || d ||   a,b,c,f,i,j,k,n   |</t>
  </si>
  <si>
    <t>| ∅ || B,C,D,E,F,G,H,I,J,K,L,M,N,O ||   ∅   || ∅ |
--------------------------------------------------
| a ||     b,c,d,f,g,h,i,j,k,n     || e,l,m || o |</t>
  </si>
  <si>
    <t>| ∅ || I || ∅ || D,E,G,K,N ||  B,C,F,H,J,L,M,O  |
-------------------------------------------------
| a || ∅ || n ||  b,c,j,k  || d,e,f,g,h,i,l,m,o |</t>
  </si>
  <si>
    <t>| ∅ || ∅ || B,C,D,E,F,G,H,I,J,K,L,M,N,O ||  ∅  || ∅ |
-----------------------------------------------------
| a || b ||     c,d,e,f,g,h,i,j,k,l     || m,n || o |</t>
  </si>
  <si>
    <t>⎛ ∅ ⎞⎛ B,C,D,E,F,G,H,I,J,K,L,M,N,O ⎞
⎝ b ⎠⎝  a,c,d,e,f,g,h,i,j,k,l,m,n  ⎠</t>
  </si>
  <si>
    <t>⎛       O       ⎞⎛ B,C,D,E,F,G,H,I,J,K,L,M,N ⎞
⎝ a,c,e,g,i,k,m ⎠⎝       b,d,f,h,j,l,n       ⎠</t>
  </si>
  <si>
    <t>|    B,D,F,H,I,J,K,L,N    || C,G || E,M,O |
-------------------------------------------
| a,b,c,d,e,f,g,i,j,k,l,n || h,m ||   ∅   |</t>
  </si>
  <si>
    <t>| ∅ ||   ∅   || B,C,D,E,F,G,H,I,J,K,L,M,N,O |
---------------------------------------------
| a || b,c,d ||     e,f,g,h,i,j,k,l,m,n     |</t>
  </si>
  <si>
    <t>| ∅ ||  G  ||  ∅  || B,C,D,E,F,H,I,J,K,L,M,N,O |
------------------------------------------------
| f || d,l || i,n ||     a,b,c,e,g,h,j,k,m     |</t>
  </si>
  <si>
    <t>|  ∅  || B,C,D,E,F,G,H,I,J,K,L,M,N,O || ∅ || ∅ |
------------------------------------------------
| a,c ||     d,e,f,g,h,i,j,k,l,m     || b || n |</t>
  </si>
  <si>
    <t>| ∅ ||    B,C,E,G,I,K,L,N    || ∅ || D,H || F,J,M,O |
-----------------------------------------------------
| a || c,d,e,f,h,i,j,k,l,m,n || b ||  g  ||    ∅    |</t>
  </si>
  <si>
    <t>| ∅ || ∅ || B,C,D,E,F,G,H,I,J,K,L,M,N,O || ∅ || ∅ |
---------------------------------------------------
| a || b ||     d,e,f,g,h,i,j,k,l,m     || c || n |</t>
  </si>
  <si>
    <t>⎛ ∅ ⎞⎛ B,C,D,E,F,G,H,I,J,K,L,M,N,O ⎞
⎝ d ⎠⎝  b,c,e,f,g,h,i,j,k,l,m,n,o  ⎠</t>
  </si>
  <si>
    <t>⎛       G       ⎞⎛ B,C,D,E,F,H,I,J,K,L,M,N,O ⎞
⎝ b,d,f,h,j,l,n ⎠⎝       c,e,g,i,k,m,o       ⎠</t>
  </si>
  <si>
    <t>| C,D,F,H,J,K,M,O || B,I,L,N || E,G |
-------------------------------------
| b,d,g,h,j,k,l,o || e,f,m,n || c,i |</t>
  </si>
  <si>
    <t>| B,C,D,E,F,G,H,I,J,K,L,M,N,O || ∅ ||   ∅   |
---------------------------------------------
|     b,c,d,f,g,h,i,j,k,n     || e || l,m,o |</t>
  </si>
  <si>
    <t>| D,F ||  B,C,I,J,L,M  || E,G,H,K,N,O ||  ∅  |
----------------------------------------------
|  ∅  || b,d,f,h,j,l,n ||  c,g,i,k,o  || e,m |</t>
  </si>
  <si>
    <t>| B,C,D,E,F,G,H,I,J,K,L,M,N,O || ∅ ||  ∅  || ∅ |
------------------------------------------------
|     b,c,d,f,g,h,i,j,k,n     || e || l,m || o |</t>
  </si>
  <si>
    <t>| B,F,N,O ||  I,L,M  || C,D,E,G,H,J || K || ∅ |
-----------------------------------------------
| b,d,j,l || e,f,h,n ||  c,g,i,k,o  || ∅ || m |</t>
  </si>
  <si>
    <t>| B,C,D,E,F,G,H,I,J,K,L,M,N,O || ∅ || ∅ || ∅ || ∅ |
---------------------------------------------------
|     b,c,d,f,g,h,i,j,k,l     || e || m || n || o |</t>
  </si>
  <si>
    <t>⎛ ∅ ⎞⎛ B,C,D,E,F,G,H,I,J,K,L,M,N,O ⎞
⎝ d ⎠⎝   b,c,e,f,g,h,i,j,k,l,m,n   ⎠</t>
  </si>
  <si>
    <t>⎛       O       ⎞⎛ B,C,D,E,F,G,H,I,J,K,L,M,N ⎞
⎝ b,d,f,h,j,l,n ⎠⎝        c,e,g,i,k,m        ⎠</t>
  </si>
  <si>
    <t>| H,I,J,K,L,N || B,C,D,E,F,G,M || O |
-------------------------------------
| e,f,g,i,m,n ||  b,d,h,j,k,l  || c |</t>
  </si>
  <si>
    <t>| B,C,D,E,F,G,H,I,J,K,L,M,N,O || ∅ ||  ∅  |
-------------------------------------------
|     b,c,d,f,g,h,i,j,k,n     || e || l,m |</t>
  </si>
  <si>
    <t>| ∅ || D,E || G,I,J,N || B,C,F,H,K,L,M,O |
------------------------------------------
| n || b,j ||   c,k   || d,e,f,g,h,i,l,m |</t>
  </si>
  <si>
    <t>| B,C,D,E,F,G,H,I,J,K,L,M,N,O || ∅ || ∅ || ∅ |
----------------------------------------------
|     c,d,e,f,g,h,i,j,k,l     || b || m || n |</t>
  </si>
  <si>
    <t>| ∅ || B,D,N,O || ∅ ||   C   || E,F,G,H,I,J,K,L,M |
---------------------------------------------------
| n ||  b,h,j  || c || d,i,l ||     e,f,g,k,m     |</t>
  </si>
  <si>
    <t>| ∅ || B,C,D,E,F,G,H,I,J,K,L,M,N,O || ∅ || ∅ || ∅ |
---------------------------------------------------
| b ||      c,d,e,f,g,h,j,k,l      || i || m || n |</t>
  </si>
  <si>
    <t>⎛ O ⎞⎛ B,C,D,E,F,G,H,I,J,K,L,M,N ⎞
⎝ ∅ ⎠⎝    a,b,d,e,g,h,j,k,m,n    ⎠</t>
  </si>
  <si>
    <t>⎛ B,C,E,F,G,H,I,J,K,L,M,N,O ⎞⎛ D ⎞
⎝    a,b,d,e,g,h,j,k,m,n    ⎠⎝ ∅ ⎠</t>
  </si>
  <si>
    <t>| B,C,D,E,F,H,I,J,M || G,K,L,O || N |
-------------------------------------
| a,d,e,g,h,j,k,m,n ||    ∅    || b |</t>
  </si>
  <si>
    <t>| C,E,F,G,H,I,J,K,L,M,N,O || B || D |
-------------------------------------
|   a,b,d,e,g,h,j,k,m,n   || ∅ || ∅ |</t>
  </si>
  <si>
    <t>|  C,H,I,J,M  || G,K,L,N,O || B,D,E,F || ∅ |
--------------------------------------------
| a,e,g,h,m,n ||     ∅     ||  b,j,k  || d |</t>
  </si>
  <si>
    <t>| C,E,F,G,H,I,J,K,M,N,O || B || D || L |
----------------------------------------
|  a,b,d,e,g,h,j,k,m,n  || ∅ || ∅ || ∅ |</t>
  </si>
  <si>
    <t>|  H  || ∅ || O || G,K,L,N || B,C,D,E,F,I,J,M |
-----------------------------------------------
| a,g || h || k ||    d    ||    b,e,j,m,n    |</t>
  </si>
  <si>
    <t>| ∅ || B,D,I || C,E,F,G,H,J,K,L,M,N || ∅ || O |
-----------------------------------------------
| a ||  j,k  ||     b,d,e,g,h,m     || n || ∅ |</t>
  </si>
  <si>
    <t>⎛ L ⎞⎛ B,C,D,E,F,G,H,I,J,K,M,N,O ⎞
⎝ ∅ ⎠⎝      a,c,e,g,i,k,m,o      ⎠</t>
  </si>
  <si>
    <t>⎛ B,C,D,E,F,G,H,I,J,K,L,M,O ⎞⎛ N ⎞
⎝      a,c,e,g,i,k,m,o      ⎠⎝ ∅ ⎠</t>
  </si>
  <si>
    <t>| C,D,F,G,H,I,J,M,O || B,E,K,L,N || ∅ |
---------------------------------------
|      a,g,k,o      ||   e,i,m   || c |</t>
  </si>
  <si>
    <t>| B,C,D,E,F,G,H,I,J,K,L,O || M || N |
-------------------------------------
|     a,c,e,g,i,k,m,o     || ∅ || ∅ |</t>
  </si>
  <si>
    <t>| C,D,F,G,H,I,J,M,N,O || B || ∅ || E,K,L |
------------------------------------------
|       a,g,k,o       || ∅ || c || e,i,m |</t>
  </si>
  <si>
    <t>| B,C,D,E,F,G,H,I,J,K,L || M || N || O |
----------------------------------------
|    a,c,e,g,i,k,m,o    || ∅ || ∅ || ∅ |</t>
  </si>
  <si>
    <t>| ∅ || ∅ || ∅ || B,E,F,G,H,J,K,L || C,D,I,M,N,O |
-------------------------------------------------
| a || k || c ||      e,i,m      ||     g,o     |</t>
  </si>
  <si>
    <t>| B,C,D,E,F,G,I,J,K,L || H || M || N || O |
-------------------------------------------
|   a,c,e,g,i,k,m,o   || ∅ || ∅ || ∅ || ∅ |</t>
  </si>
  <si>
    <t>⎛ G ⎞⎛ B,C,D,E,F,H,I,J,K,L,M,N,O ⎞
⎝ ∅ ⎠⎝       b,d,f,h,j,l,n       ⎠</t>
  </si>
  <si>
    <t>⎛ B,C,D,E,F,G,H,I,J,K,M,N,O ⎞⎛ L ⎞
⎝       b,d,f,h,j,l,n       ⎠⎝ ∅ ⎠</t>
  </si>
  <si>
    <t>| B,C,E,F,H,I,J,L,M,N || K || D,G,O |
-------------------------------------
|     b,f,h,j,l,n     || ∅ ||   d   |</t>
  </si>
  <si>
    <t>| B,C,D,E,F,G,I,J,K,M,N,O || H || L |
-------------------------------------
|      b,d,f,h,j,l,n      || ∅ || ∅ |</t>
  </si>
  <si>
    <t>| B,C,E,F,I,J,L,N,O || M || D,G,H || K |
----------------------------------------
|     b,f,h,j,n     || ∅ ||  d,l  || ∅ |</t>
  </si>
  <si>
    <t>| B,C,D,E,G,I,J,K,M,N,O || F || H || L |
----------------------------------------
|     b,d,f,h,j,l,n     || ∅ || ∅ || ∅ |</t>
  </si>
  <si>
    <t>|  ∅  || J || B,C,D,F,G,H,I,K,M,N,O ||  E  || L |
-------------------------------------------------
| b,j || ∅ ||         d,h,l         || f,n || ∅ |</t>
  </si>
  <si>
    <t>| B,C,D,G,I,J,K,M,N,O || E || F || H || L |
-------------------------------------------
|    b,d,f,h,j,l,n    || ∅ || ∅ || ∅ || ∅ |</t>
  </si>
  <si>
    <t>⎛ ∅ ⎞⎛  B,C,D,E,F,G,H,I,J,K,L,M,N  ⎞
⎝ b ⎠⎝ a,c,d,e,f,g,h,i,j,k,l,m,n,o ⎠</t>
  </si>
  <si>
    <t>⎛ B,C,D,E,F,H,I,J,K,L,M,N ⎞⎛       G       ⎞
⎝     a,c,e,g,i,k,m,o     ⎠⎝ b,d,f,h,j,l,n ⎠</t>
  </si>
  <si>
    <t>| J,L,N ||    B,C,D,E,F,G,I,M    ||  H,K  |
-------------------------------------------
|   i   || c,d,e,f,g,h,k,l,m,n,o || a,b,j |</t>
  </si>
  <si>
    <t>| ∅ || B,C,D,E,F,G,H,I,J,K,L,M,N ||   ∅   |
-------------------------------------------
| a ||   b,c,d,e,f,g,h,i,j,k,n   || l,m,o |</t>
  </si>
  <si>
    <t>|  E  || B,I,L || ∅ || C,D,F,G,H,J,K,M,N |
------------------------------------------
| l,m || g,h,o || d || a,b,c,e,f,i,j,k,n |</t>
  </si>
  <si>
    <t>| B,C,D,E,F,G,H,I,J,K,L,M,N ||    ∅    || ∅ || ∅ |
--------------------------------------------------
|     a,b,c,g,h,i,j,k,o     || d,e,f,m || l || n |</t>
  </si>
  <si>
    <t>| ∅ || I || ∅ || D,E,G,K,N ||   B,C,F,H,J,L,M   |
-------------------------------------------------
| a || ∅ || n ||  b,c,j,k  || d,e,f,g,h,i,l,m,o |</t>
  </si>
  <si>
    <t>| ∅ || B,C,D,E,F,G,H,I,J,K,L,M ||  N  || ∅ || ∅ |
-------------------------------------------------
| a ||   b,c,d,e,f,g,h,i,k,l   || j,m || n || o |</t>
  </si>
  <si>
    <t>⎛ ∅ ⎞⎛ B,C,D,E,F,G,H,I,J,K,L,M,N ⎞
⎝ b ⎠⎝ a,c,d,e,f,g,h,i,j,k,l,m,n ⎠</t>
  </si>
  <si>
    <t>⎛ C,D,E,F,G,H,I,J,K,L,M,N ⎞⎛       B       ⎞
⎝      a,c,e,g,i,k,m      ⎠⎝ b,d,f,h,j,l,n ⎠</t>
  </si>
  <si>
    <t>|  H  ||  F,G  || B,C,D,E,I,J,K,L,M,N |
---------------------------------------
| a,g || e,j,n ||  b,c,d,f,h,i,k,l,m  |</t>
  </si>
  <si>
    <t>| B,C,D,E,F,G,H,I,J,K,L,M,N ||   ∅   || ∅ |
-------------------------------------------
|    a,b,c,d,h,i,k,l,m,n    || e,f,j || g |</t>
  </si>
  <si>
    <t>| ∅ ||  B,M  || D,F || C,E,G,H,I,J,K,L,N |
------------------------------------------
| a || d,h,i || b,j ||  c,e,f,g,k,l,m,n  |</t>
  </si>
  <si>
    <t>| ∅ || ∅ || B,C,D,E,F,G,H,I,J,K,L,M,N ||  ∅  |
----------------------------------------------
| a || b ||    c,d,e,f,g,h,i,j,k,l    || m,n |</t>
  </si>
  <si>
    <t>| ∅ ||     B,E,G,I,K,L,N     || D,F || C,H || J,M |
---------------------------------------------------
| a || b,c,e,f,h,i,j,k,l,m,n ||  ∅  ||  g  ||  d  |</t>
  </si>
  <si>
    <t>| ∅ || B,C,D,E,F,G,H,I,J,K,L,M,N || ∅ || ∅ || ∅ |
-------------------------------------------------
| a ||    b,c,d,f,g,h,i,j,k,l    || e || m || n |</t>
  </si>
  <si>
    <t>⎛ ∅ ⎞⎛ B,C,D,E,F,G,H,I,J,K,L,M,N ⎞
⎝ d ⎠⎝ b,c,e,f,g,h,i,j,k,l,m,n,o ⎠</t>
  </si>
  <si>
    <t>⎛ B,C,D,E,F,H,I,J,K,L,M,N ⎞⎛       G       ⎞
⎝      b,d,f,h,j,l,n      ⎠⎝ c,e,g,i,k,m,o ⎠</t>
  </si>
  <si>
    <t>|     D,E,F,H,J,M     || B,C,I,L,N || G,K |
-------------------------------------------
| c,d,e,f,g,i,k,l,m,o ||  b,h,j,n  ||  ∅  |</t>
  </si>
  <si>
    <t>| ∅ || B,C,D,E,F,G,H,I,J,K,L,M,N ||   ∅   |
-------------------------------------------
| b ||    c,d,e,f,g,h,i,j,l,o    || k,m,n |</t>
  </si>
  <si>
    <t>| D,F || B,C,I,J,L,M || E,G,H,K,N ||  ∅  |
------------------------------------------
|  d  || b,f,h,j,l,n || c,g,i,k,o || e,m |</t>
  </si>
  <si>
    <t>| B,C,D,E,F,G,H,I,J,K,L,M,N || ∅ ||  ∅  || ∅ |
----------------------------------------------
|    b,c,d,f,g,h,i,j,k,l    || e || m,n || o |</t>
  </si>
  <si>
    <t>| ∅ || B,C,G,I,K,L,M || D,E,H,J,N ||  F  || ∅ |
-----------------------------------------------
| b ||  e,f,h,i,m,n  ||  c,g,k,o  || d,l || j |</t>
  </si>
  <si>
    <t>| B,C,D,E,F,G,H,I,J,K,L,M,N || ∅ || ∅ || ∅ || ∅ |
-------------------------------------------------
|    b,c,d,f,h,i,j,k,l,m    || e || g || n || o |</t>
  </si>
  <si>
    <t>⎛ ∅ ⎞⎛ B,C,D,E,F,G,H,I,J,K,L,M,N ⎞
⎝ d ⎠⎝  b,c,e,f,g,h,i,j,k,l,m,n  ⎠</t>
  </si>
  <si>
    <t>⎛ B,C,D,E,F,G,H,I,K,L,M,N ⎞⎛      J      ⎞
⎝      b,d,f,h,j,l,n      ⎠⎝ c,e,g,i,k,m ⎠</t>
  </si>
  <si>
    <t>| ∅ || G,H || B,C,D,E,F,I,J,K,L,M,N |
-------------------------------------
| e || g,j ||  b,c,d,f,h,i,k,l,m,n  |</t>
  </si>
  <si>
    <t>| B,C,D,E,F,G,H,I,J,K,L,M,N ||  ∅  || ∅ |
-----------------------------------------
|    b,d,e,h,i,j,k,l,m,n    || c,f || g |</t>
  </si>
  <si>
    <t>| K || B,D,N ||  J  || C,E,F,G,H,I,L,M |
----------------------------------------
| n ||  b,j  || c,g || d,e,f,h,i,k,l,m |</t>
  </si>
  <si>
    <t>| B,C,D,E,F,G,H,I,J,K,L,M,N || ∅ || ∅ || ∅ |
--------------------------------------------
|    b,c,d,f,g,h,i,j,k,l    || e || m || n |</t>
  </si>
  <si>
    <t>| ∅ ||  B,N  || ∅ ||  C,D  || E,F,G,H,I,J,K,L,M |
-------------------------------------------------
| n || b,h,j || c || d,i,l ||     e,f,g,k,m     |</t>
  </si>
  <si>
    <t>| B,C,D,E,F,G,H,I,J,K,L,M,N || ∅ || ∅ || ∅ || ∅ |
-------------------------------------------------
|     b,d,f,h,i,j,k,l,m     || c || e || g || n |</t>
  </si>
  <si>
    <t>⎛ N ⎞⎛ B,C,D,E,F,G,H,I,J,K,L,M ⎞
⎝ ∅ ⎠⎝   a,b,d,e,g,h,j,k,m,n   ⎠</t>
  </si>
  <si>
    <t>⎛ B,C,E,F,G,H,I,J,K,L,M,N ⎞⎛ D ⎞
⎝   a,b,d,e,g,h,j,k,m,n   ⎠⎝ ∅ ⎠</t>
  </si>
  <si>
    <t>| B,C,D,E,F,H,I,J,M || G,K,L || N |
-----------------------------------
| a,d,e,g,h,j,k,m,n ||   ∅   || b |</t>
  </si>
  <si>
    <t>| C,E,F,G,H,I,J,K,L,M,N || B || D |
-----------------------------------
|  a,b,d,e,g,h,j,k,m,n  || ∅ || ∅ |</t>
  </si>
  <si>
    <t>|  H,N  || B,C,E,J,K,M || D,F,G,I || L |
----------------------------------------
| a,g,h ||    e,m,n    ||  b,j,k  || d |</t>
  </si>
  <si>
    <t>| C,E,F,G,H,I,J,K,M,N || B || D || L |
--------------------------------------
| a,b,d,e,g,h,j,k,m,n || ∅ || ∅ || ∅ |</t>
  </si>
  <si>
    <t>| H,N || B,E,I || L || C,D,F,J,K,M || G |
-----------------------------------------
| a,g || e,h,m || ∅ ||  b,d,j,k,n  || ∅ |</t>
  </si>
  <si>
    <t>| ∅ || C,E,F,G,H,J,K,M,N || B,D,I,L || ∅ || ∅ |
-----------------------------------------------
| a ||     b,g,h,j,k     ||   m,n   || d || e |</t>
  </si>
  <si>
    <t>⎛ L ⎞⎛ B,C,D,E,F,G,H,I,J,K,M,N ⎞
⎝ ∅ ⎠⎝     a,c,e,g,i,k,m,o     ⎠</t>
  </si>
  <si>
    <t>⎛ B,C,D,E,F,G,H,I,J,K,L,M ⎞⎛ N ⎞
⎝     a,c,e,g,i,k,m,o     ⎠⎝ ∅ ⎠</t>
  </si>
  <si>
    <t>| C,D,F,G,H,I,J,M || B,E,K,L,N || ∅ |
-------------------------------------
|     a,g,k,o     ||   e,i,m   || c |</t>
  </si>
  <si>
    <t>| B,C,D,E,F,G,H,I,J,K,L || M || N |
-----------------------------------
|    a,c,e,g,i,k,m,o    || ∅ || ∅ |</t>
  </si>
  <si>
    <t>| C,D,H,M || ∅ || ∅ || B,E,F,G,I,J,K,L,N |
------------------------------------------
|  a,g,o  || k || c ||       e,i,m       |</t>
  </si>
  <si>
    <t>| B,C,D,E,F,G,I,J,K,L || H || M || N |
--------------------------------------
|   a,c,e,g,i,k,m,o   || ∅ || ∅ || ∅ |</t>
  </si>
  <si>
    <t>| ∅ || ∅ || ∅ || B,E,F,G,H,J,K,L || C,D,I,M,N |
-----------------------------------------------
| a || k || c ||      e,i,m      ||    g,o    |</t>
  </si>
  <si>
    <t>| B,C,D,E,G,I,J,K,L || F || H || M || N |
-----------------------------------------
|  a,c,e,g,i,k,m,o  || ∅ || ∅ || ∅ || ∅ |</t>
  </si>
  <si>
    <t>⎛ G ⎞⎛ B,C,D,E,F,H,I,J,K,L,M,N ⎞
⎝ ∅ ⎠⎝      b,d,f,h,j,l,n      ⎠</t>
  </si>
  <si>
    <t>⎛ B,C,D,E,F,G,H,I,J,K,M,N ⎞⎛ L ⎞
⎝      b,d,f,h,j,l,n      ⎠⎝ ∅ ⎠</t>
  </si>
  <si>
    <t>| B,C,E,F,H,I,J,L,M,N || K || D,G |
-----------------------------------
|      b,f,h,j,n      || ∅ || d,l |</t>
  </si>
  <si>
    <t>| B,C,D,E,F,G,I,J,K,M,N || H || L |
-----------------------------------
|     b,d,f,h,j,l,n     || ∅ || ∅ |</t>
  </si>
  <si>
    <t>| B,C,E,F,I,J,L,M,N || ∅ || D,G,H || K |
----------------------------------------
|     b,h,j,l,n     || f ||   d   || ∅ |</t>
  </si>
  <si>
    <t>| B,C,D,E,G,I,J,K,M,N || F || H || L |
--------------------------------------
|    b,d,f,h,j,l,n    || ∅ || ∅ || ∅ |</t>
  </si>
  <si>
    <t>| ∅ || J || C,D,F,G,H,I,K,M,N || E,L || B |
-------------------------------------------
| j || ∅ ||      b,d,h,l      || f,n || ∅ |</t>
  </si>
  <si>
    <t>| B,C,D,G,I,J,K,M,N || E || F || H || L |
-----------------------------------------
|   b,d,f,h,j,l,n   || ∅ || ∅ || ∅ || ∅ |</t>
  </si>
  <si>
    <t>⎛ ∅ ⎞⎛     A,B,D,E,G,H,J,K,M,N     ⎞
⎝ b ⎠⎝ a,c,d,e,f,g,h,i,j,k,l,m,n,o ⎠</t>
  </si>
  <si>
    <t>⎛        A        ⎞⎛ B,D,E,G,H,J,K,M,N ⎞
⎝ a,c,e,g,i,k,m,o ⎠⎝   b,d,f,h,j,l,n   ⎠</t>
  </si>
  <si>
    <t>| ∅ || D,G,H ||     A,B,E,J,K,M,N     |
---------------------------------------
| a || g,k,o || b,c,d,e,f,h,i,j,l,m,n |</t>
  </si>
  <si>
    <t>| ∅ ||  A,B,D,E,G,H,J,K,M,N  ||   ∅   |
---------------------------------------
| a || b,c,d,e,f,g,h,i,j,k,n || l,m,o |</t>
  </si>
  <si>
    <t>|   ∅   || ∅ ||   ∅   || A,B,D,E,G,H,J,K,M,N |
----------------------------------------------
| f,i,n || h || b,d,l ||   a,c,e,g,j,k,m,o   |</t>
  </si>
  <si>
    <t>| ∅ || A,B,D,E,G,H,J,K,M,N || ∅ ||   ∅   |
------------------------------------------
| a || c,d,e,f,g,h,i,j,k,l || b || m,n,o |</t>
  </si>
  <si>
    <t>|   ∅   ||  B,E  || ∅ || A,D,G,H,J,K,M,N || ∅ |
-----------------------------------------------
| a,f,n || e,h,m || l ||  b,c,g,i,j,k,o  || d |</t>
  </si>
  <si>
    <t>| ∅ || A,B,D,E,G,H,J,K,M,N || ∅ ||  ∅  || ∅ |
---------------------------------------------
| a || c,d,e,f,g,h,i,j,k,l || b || m,n || o |</t>
  </si>
  <si>
    <t>⎛ ∅ ⎞⎛    A,B,D,E,G,H,J,K,M,N    ⎞
⎝ b ⎠⎝ a,c,d,e,f,g,h,i,j,k,l,m,n ⎠</t>
  </si>
  <si>
    <t>⎛ B,D,E,G,H,J,K,M,N ⎞⎛       A       ⎞
⎝   a,c,e,g,i,k,m   ⎠⎝ b,d,f,h,j,l,n ⎠</t>
  </si>
  <si>
    <t>| ∅ ||  A,B,D,E,G,H,J,K,M,N  ||  ∅  |
-------------------------------------
| g || a,b,d,e,f,h,j,k,l,m,n || c,i |</t>
  </si>
  <si>
    <t>| ∅ ||  A,B,D,E,G,H,J,K,M,N  ||  ∅  |
-------------------------------------
| a || b,c,d,e,f,g,h,i,j,k,n || l,m |</t>
  </si>
  <si>
    <t>| ∅ ||    ∅    || ∅ || A,B,D,E,G,H,J,K,M,N |
--------------------------------------------
| f || d,h,i,l || n ||   a,b,c,e,g,j,k,m   |</t>
  </si>
  <si>
    <t>| A,B,D,E,G,H,J,K,M,N || ∅ || ∅ ||  ∅  |
----------------------------------------
| c,d,e,f,g,h,i,j,k,l || a || b || m,n |</t>
  </si>
  <si>
    <t>| ∅ || B,D,J ||  ∅  ||   E,G,H,K,M,N   || A |
---------------------------------------------
| a || c,h,k || b,j || d,e,f,g,i,l,m,n || ∅ |</t>
  </si>
  <si>
    <t>| ∅ || A,B,D,E,G,H,J,K,M,N || ∅ || ∅ || ∅ |
-------------------------------------------
| a || c,d,e,g,h,i,j,k,l,m || b || f || n |</t>
  </si>
  <si>
    <t>⎛ ∅ ⎞⎛    A,B,D,E,G,H,J,K,M,N    ⎞
⎝ d ⎠⎝ b,c,e,f,g,h,i,j,k,l,m,n,o ⎠</t>
  </si>
  <si>
    <t>⎛       A       ⎞⎛ B,D,E,G,H,J,K,M,N ⎞
⎝ b,d,f,h,j,l,n ⎠⎝   c,e,g,i,k,m,o   ⎠</t>
  </si>
  <si>
    <t>| B,J ||    A,D,E,G,H,K,M,N    || ∅ |
-------------------------------------
| h,m || b,c,d,e,f,g,i,j,k,l,o || n |</t>
  </si>
  <si>
    <t>| A,B,D,E,G,H,J,K,M,N || ∅ ||   ∅   |
-------------------------------------
| c,d,e,f,g,h,i,j,l,o || b || k,m,n |</t>
  </si>
  <si>
    <t>| ∅ ||  D,E,M  ||  A,B,G,H,J,K,N  || ∅ |
----------------------------------------
| e || f,h,m,n || b,c,g,i,j,k,l,o || d |</t>
  </si>
  <si>
    <t>| A,B,D,E,G,H,J,K,M,N || ∅ || ∅ ||  ∅  |
----------------------------------------
| c,d,e,f,h,i,j,k,l,o || b || g || m,n |</t>
  </si>
  <si>
    <t>| B,E,H,J,K,M,N || A,D ||   ∅   || G ||  ∅  |
---------------------------------------------
| b,d,e,h,j,l,m || f,n || c,i,k || ∅ || g,o |</t>
  </si>
  <si>
    <t>| A,B,D,E,G,H,J,K,M,N || ∅ || ∅ || ∅ || ∅ |
-------------------------------------------
| d,e,f,g,h,i,j,k,l,m || b || c || n || o |</t>
  </si>
  <si>
    <t>⎛ ∅ ⎞⎛   A,B,D,E,G,H,J,K,M,N   ⎞
⎝ d ⎠⎝ b,c,e,f,g,h,i,j,k,l,m,n ⎠</t>
  </si>
  <si>
    <t>⎛       A       ⎞⎛ B,D,E,G,H,J,K,M,N ⎞
⎝ b,d,f,h,j,l,n ⎠⎝    c,e,g,i,k,m    ⎠</t>
  </si>
  <si>
    <t>| ∅ ||   ∅   || A,B,D,E,G,H,J,K,M,N |
-------------------------------------
| h || d,i,l ||  b,c,e,f,g,j,k,m,n  |</t>
  </si>
  <si>
    <t>| A,B,D,E,G,H,J,K,M,N || ∅ ||  ∅  |
-----------------------------------
| b,c,d,f,g,h,i,j,k,l || e || m,n |</t>
  </si>
  <si>
    <t>| J || D,N || ∅ ||    A,B,E,G,H,K,M    |
----------------------------------------
| g ||  b  || c || d,e,f,h,i,j,k,l,m,n |</t>
  </si>
  <si>
    <t>| A,B,D,E,G,H,J,K,M,N || ∅ || ∅ || ∅ |
--------------------------------------
| c,d,e,f,g,h,i,j,k,l || b || m || n |</t>
  </si>
  <si>
    <t>| ∅ || ∅ || A,D,E,H,J,M,N ||  G  || B,K |
-----------------------------------------
| n || h || b,c,f,g,i,j,k || d,l || e,m |</t>
  </si>
  <si>
    <t>| A,B,D,E,G,H,J,K,M,N || ∅ || ∅ || ∅ || ∅ |
-------------------------------------------
|  b,c,e,f,g,h,j,k,l  || d || i || m || n |</t>
  </si>
  <si>
    <t>⎛ N ⎞⎛  A,B,D,E,G,H,J,K,M  ⎞
⎝ ∅ ⎠⎝ a,b,d,e,g,h,j,k,m,n ⎠</t>
  </si>
  <si>
    <t>⎛  A,B,E,G,H,J,K,M,N  ⎞⎛ D ⎞
⎝ a,b,d,e,g,h,j,k,m,n ⎠⎝ ∅ ⎠</t>
  </si>
  <si>
    <t>|  G,H  || A,N || B,D,E,J,K,M |
-------------------------------
| a,e,m || g,h ||  b,d,j,k,n  |</t>
  </si>
  <si>
    <t>|   A,E,G,H,J,K,M,N   || B || D |
---------------------------------
| a,b,d,e,g,h,j,k,m,n || ∅ || ∅ |</t>
  </si>
  <si>
    <t>|  G  ||  A,K  || B,D,E,H,J,M || N |
------------------------------------
| g,k || a,d,h ||   b,e,j,m   || n |</t>
  </si>
  <si>
    <t>|    A,E,G,J,K,M,N    || B || D || H |
--------------------------------------
| a,b,d,e,g,h,j,k,m,n || ∅ || ∅ || ∅ |</t>
  </si>
  <si>
    <t>| G ||  A,K  || B,D,E,H,J,M ||  ∅  || N |
-----------------------------------------
| ∅ || a,d,h ||   b,e,j,m   || g,k || n |</t>
  </si>
  <si>
    <t>| ∅ || A,E,G,H,J,K,M,N || B,D || ∅ || ∅ |
-----------------------------------------
| a ||    b,g,h,m,n    || j,k || d || e |</t>
  </si>
  <si>
    <t>⎛ E ⎞⎛ A,B,D,G,H,J,K,M,N ⎞
⎝ ∅ ⎠⎝  a,c,e,g,i,k,m,o  ⎠</t>
  </si>
  <si>
    <t>⎛ A,B,D,E,G,H,J,K,M ⎞⎛ N ⎞
⎝  a,c,e,g,i,k,m,o  ⎠⎝ ∅ ⎠</t>
  </si>
  <si>
    <t>| D,G,H,J,M || A,B,E,K,N || ∅ |
-------------------------------
|  a,g,k,o  ||   e,i,m   || c |</t>
  </si>
  <si>
    <t>| A,B,D,E,G,H,J,K || M || N |
-----------------------------
| a,c,e,g,i,k,m,o || ∅ || ∅ |</t>
  </si>
  <si>
    <t>| D,H,M || ∅ || ∅ || A,B,E,G,J,K,N |
------------------------------------
| a,g,o || k || c ||     e,i,m     |</t>
  </si>
  <si>
    <t>|  A,B,D,E,G,J,K  || H || M || N |
----------------------------------
| a,c,e,g,i,k,m,o || ∅ || ∅ || ∅ |</t>
  </si>
  <si>
    <t>| ∅ || ∅ || ∅ || A,B,E,G,H,J,K || D,M,N |
-----------------------------------------
| a || k || c ||     e,i,m     ||  g,o  |</t>
  </si>
  <si>
    <t>|   A,B,E,G,J,K   || D || H || M || N |
---------------------------------------
| a,c,e,g,i,k,m,o || ∅ || ∅ || ∅ || ∅ |</t>
  </si>
  <si>
    <t>⎛ G ⎞⎛ A,B,D,E,H,J,K,M,N ⎞
⎝ ∅ ⎠⎝   b,d,f,h,j,l,n   ⎠</t>
  </si>
  <si>
    <t>⎛ A,B,D,E,G,J,K,M,N ⎞⎛ H ⎞
⎝   b,d,f,h,j,l,n   ⎠⎝ ∅ ⎠</t>
  </si>
  <si>
    <t>| B,D,E,H,J,M,N || K || A,G |
-----------------------------
| b,d,f,h,j,l,n || ∅ ||  ∅  |</t>
  </si>
  <si>
    <t>| A,B,D,G,J,K,M,N || E || H |
-----------------------------
|  b,d,f,h,j,l,n  || ∅ || ∅ |</t>
  </si>
  <si>
    <t>| B,D,E,H,J,M,N || A || G || K |
--------------------------------
| b,d,f,h,j,l,n || ∅ || ∅ || ∅ |</t>
  </si>
  <si>
    <t>| A,B,G,J,K,M,N || D || E || H |
--------------------------------
| b,d,f,h,j,l,n || ∅ || ∅ || ∅ |</t>
  </si>
  <si>
    <t>| E || A || B,D,G,H,K,M,N || ∅ || J |
-------------------------------------
| j || ∅ ||   b,d,f,h,l   || n || ∅ |</t>
  </si>
  <si>
    <t>|  A,B,G,K,M,N  || D || E || H || J |
-------------------------------------
| b,d,f,h,j,l,n || ∅ || ∅ || ∅ || ∅ |</t>
  </si>
  <si>
    <t>⎛ ∅ ⎞⎛       A,C,E,G,I,K,M,O       ⎞
⎝ b ⎠⎝ a,c,d,e,f,g,h,i,j,k,l,m,n,o ⎠</t>
  </si>
  <si>
    <t>⎛  A,C,E,G,I,M,O  ⎞⎛       K       ⎞
⎝ a,c,e,g,i,k,m,o ⎠⎝ b,d,f,h,j,l,n ⎠</t>
  </si>
  <si>
    <t>| ∅ ||     A,C,E,G,I,K,M     ||   O   |
---------------------------------------
| a || c,d,e,f,h,i,j,k,l,m,n || b,g,o |</t>
  </si>
  <si>
    <t>|   A,C,E,G,I,K,M,O   || ∅ ||    ∅    |
---------------------------------------
| a,b,c,d,f,g,h,i,l,o || e || j,k,m,n |</t>
  </si>
  <si>
    <t>|  ∅  || ∅ ||   ∅   ||  A,C,E,G,I,K,M,O  |
------------------------------------------
| f,i || h || b,d,l || a,c,e,g,j,k,m,n,o |</t>
  </si>
  <si>
    <t>|   A,C,E,G,I,K,M,O   || ∅ || ∅ ||   ∅   |
------------------------------------------
| b,c,d,e,g,h,i,k,l,o || a || f || j,m,n |</t>
  </si>
  <si>
    <t>| ∅ ||   ∅   || ∅ || A,C,E,G,I,K,M,O ||   ∅   |
-----------------------------------------------
| f || e,m,n || l ||  a,b,c,d,h,j,k  || g,i,o |</t>
  </si>
  <si>
    <t>| ∅ ||   A,C,E,G,I,K,M,O   || ∅ || ∅ ||  ∅  |
---------------------------------------------
| a || d,e,f,g,h,i,j,k,l,m || b || c || n,o |</t>
  </si>
  <si>
    <t>⎛ ∅ ⎞⎛      A,C,E,G,I,K,M,O      ⎞
⎝ b ⎠⎝ a,c,d,e,f,g,h,i,j,k,l,m,n ⎠</t>
  </si>
  <si>
    <t>⎛       K       ⎞⎛ A,C,E,G,I,M,O ⎞
⎝ a,c,e,g,i,k,m ⎠⎝ b,d,f,h,j,l,n ⎠</t>
  </si>
  <si>
    <t>|  ∅  ||   A   ||   C,E,G,I,K,M,O   |
-------------------------------------
| a,g || f,j,n || b,c,d,e,h,i,k,l,m |</t>
  </si>
  <si>
    <t>|   A,C,E,G,I,K,M,O   ||   ∅   || ∅ |
-------------------------------------
| a,e,f,g,h,i,j,k,l,m || b,c,d || n |</t>
  </si>
  <si>
    <t>| ∅ ||      C,I,K,M,O      || E || A,G |
----------------------------------------
| a || d,e,f,g,h,i,j,l,m,n || b || c,k |</t>
  </si>
  <si>
    <t>| ∅ ||   A,C,E,G,I,K,M,O   ||  ∅  || ∅ |
----------------------------------------
| a || d,e,f,g,h,i,j,k,l,m || b,n || c |</t>
  </si>
  <si>
    <t>| ∅ ||  C,E,G,I,K,M,O  ||  ∅  || ∅ ||  A  |
-------------------------------------------
| a || b,c,e,f,g,k,m,n || h,i || j || d,l |</t>
  </si>
  <si>
    <t>| ∅ ||   A,C,E,G,I,K,M,O   || ∅ || ∅ || ∅ |
-------------------------------------------
| a || b,c,e,f,g,h,j,k,l,n || d || i || m |</t>
  </si>
  <si>
    <t>⎛ ∅ ⎞⎛      A,C,E,G,I,K,M,O      ⎞
⎝ d ⎠⎝ b,c,e,f,g,h,i,j,k,l,m,n,o ⎠</t>
  </si>
  <si>
    <t>⎛       A       ⎞⎛ C,E,G,I,K,M,O ⎞
⎝ c,e,g,i,k,m,o ⎠⎝ b,d,f,h,j,l,n ⎠</t>
  </si>
  <si>
    <t>| O ||     A,C,E,G,I,K,M     ||  ∅  |
-------------------------------------
| b || c,d,e,f,h,i,j,k,l,m,n || g,o |</t>
  </si>
  <si>
    <t>|   A,C,E,G,I,K,M,O   ||   ∅   || ∅ |
-------------------------------------
| b,c,d,e,f,h,i,j,l,m || g,k,n || o |</t>
  </si>
  <si>
    <t>|  A,C,E,M,O  || ∅ || ∅ ||    G,I,K    |
----------------------------------------
| b,d,e,j,l,m || h || i || c,f,g,k,n,o |</t>
  </si>
  <si>
    <t>|   A,C,E,G,I,K,M,O   ||  ∅  || ∅ || ∅ |
----------------------------------------
| b,c,d,e,f,g,h,i,l,m || j,k || n || o |</t>
  </si>
  <si>
    <t>|   M   || ∅ || ∅ || G ||    A,C,E,I,K,O    |
---------------------------------------------
| b,d,j || i || c || ∅ || e,f,g,h,k,l,m,n,o |</t>
  </si>
  <si>
    <t>|   A,C,E,G,I,K,M,O   || ∅ || ∅ || ∅ || ∅ |
-------------------------------------------
| b,d,f,g,h,i,j,k,l,m || c || e || n || o |</t>
  </si>
  <si>
    <t>⎛ ∅ ⎞⎛     A,C,E,G,I,K,M,O     ⎞
⎝ d ⎠⎝ b,c,e,f,g,h,i,j,k,l,m,n ⎠</t>
  </si>
  <si>
    <t>⎛ A,C,E,G,I,K,M ⎞⎛       O       ⎞
⎝  c,e,g,i,k,m  ⎠⎝ b,d,f,h,j,l,n ⎠</t>
  </si>
  <si>
    <t>|   A,C,E,G,I,K,M,O   ||  ∅  || ∅ |
-----------------------------------
| b,c,f,h,i,j,k,l,m,n || d,g || e |</t>
  </si>
  <si>
    <t>|   A,C,E,G,I,K,M,O   ||  ∅  || ∅ |
-----------------------------------
| c,d,e,f,g,h,i,j,k,l || b,m || n |</t>
  </si>
  <si>
    <t>| ∅ || ∅ ||  ∅  ||  A,C,E,G,I,K,M,O  |
--------------------------------------
| h || m || c,k || b,d,e,f,g,i,j,l,n |</t>
  </si>
  <si>
    <t>|   A,C,E,G,I,K,M,O   || ∅ || ∅ || ∅ |
--------------------------------------
| d,e,f,g,h,i,j,k,l,m || b || c || n |</t>
  </si>
  <si>
    <t>|  ∅  || ∅ || ∅ || A,C,E,G,I,K,M,O || ∅ |
-----------------------------------------
| b,i || j || h || c,d,f,g,k,l,m,n || e |</t>
  </si>
  <si>
    <t>|  A,C,E,G,I,K,M,O  || ∅ || ∅ || ∅ || ∅ |
-----------------------------------------
| b,d,f,h,i,j,k,l,m || c || e || g || n |</t>
  </si>
  <si>
    <t>⎛ O ⎞⎛    A,C,E,G,I,K,M    ⎞
⎝ ∅ ⎠⎝ a,b,d,e,g,h,j,k,m,n ⎠</t>
  </si>
  <si>
    <t>⎛    A,C,E,G,K,M,O    ⎞⎛ I ⎞
⎝ a,b,d,e,g,h,j,k,m,n ⎠⎝ ∅ ⎠</t>
  </si>
  <si>
    <t>|    A    ||  O  || C,E,G,I,K,M |
---------------------------------
| a,d,g,m || e,k ||   b,h,j,n   |</t>
  </si>
  <si>
    <t>|  ∅  || A,C,E,G,I,K,M,O || ∅ |
-------------------------------
| a,h ||  b,d,e,g,j,k,n  || m |</t>
  </si>
  <si>
    <t>|  ∅  || ∅ || C,E,I,M || A,G,K,O |
----------------------------------
| g,k || n || b,e,j,m ||  a,d,h  |</t>
  </si>
  <si>
    <t>| ∅ || A,C,E,G,I,K,M,O || ∅ || ∅ |
----------------------------------
| a ||  b,d,e,g,j,k,n  || h || m |</t>
  </si>
  <si>
    <t>| ∅ || G,O || A ||  ∅  ||  C,E,I,K,M  |
---------------------------------------
| a ||  ∅  || h || d,j || b,e,g,k,m,n |</t>
  </si>
  <si>
    <t>| A,C,E,G,I,K,M,O || ∅ || ∅ || ∅ || ∅ |
---------------------------------------
|   b,e,j,k,m,n   || a || d || g || h |</t>
  </si>
  <si>
    <t>⎛ E ⎞⎛  A,C,G,I,K,M,O  ⎞
⎝ ∅ ⎠⎝ a,c,e,g,i,k,m,o ⎠</t>
  </si>
  <si>
    <t>⎛  A,C,E,G,I,K,O  ⎞⎛ M ⎞
⎝ a,c,e,g,i,k,m,o ⎠⎝ ∅ ⎠</t>
  </si>
  <si>
    <t>| A,C,G,I,K,M,O ||  ∅  || E |
-----------------------------
|  c,e,g,k,m,o  || a,i || ∅ |</t>
  </si>
  <si>
    <t>|   A,C,E,G,I,K   || M || O |
-----------------------------
| a,c,e,g,i,k,m,o || ∅ || ∅ |</t>
  </si>
  <si>
    <t>| ∅ || C || A,G,I,K,M,O ||  E  |
--------------------------------
| a || ∅ ||  c,g,i,k,o  || e,m |</t>
  </si>
  <si>
    <t>|    A,C,E,G,K    || I || M || O |
----------------------------------
| a,c,e,g,i,k,m,o || ∅ || ∅ || ∅ |</t>
  </si>
  <si>
    <t>| ∅ || C || A,E,G,I,K,M,O || ∅ || ∅ |
-------------------------------------
| a || ∅ ||   c,e,i,k,o   || m || g |</t>
  </si>
  <si>
    <t>|   A,I,K   ||  C,E  || G || M || O |
-------------------------------------
| a,e,i,k,m || c,g,o || ∅ || ∅ || ∅ |</t>
  </si>
  <si>
    <t>⎛ G ⎞⎛ A,C,E,I,K,M,O ⎞
⎝ ∅ ⎠⎝ b,d,f,h,j,l,n ⎠</t>
  </si>
  <si>
    <t>⎛ A,C,G,I,K,M,O ⎞⎛ E ⎞
⎝ b,d,f,h,j,l,n ⎠⎝ ∅ ⎠</t>
  </si>
  <si>
    <t>| ∅ || A,E,G || C,I,K,M,O |
---------------------------
| j ||  f,n  ||  b,d,h,l  |</t>
  </si>
  <si>
    <t>|  A,C,G,I,M,O  || E || K |
---------------------------
| b,d,f,h,j,l,n || ∅ || ∅ |</t>
  </si>
  <si>
    <t>| C,E,I,K,M,O || ∅ || ∅ || A,G |
--------------------------------
|    b,h,j    || l || d || f,n |</t>
  </si>
  <si>
    <t>| A,G,I,K,M,O || ∅ || C || E |
------------------------------
| d,f,h,j,l,n || b || ∅ || ∅ |</t>
  </si>
  <si>
    <t>| C || ∅ || ∅ || A,G || E,I,K,M,O |
-----------------------------------
| ∅ || l || d || f,n ||   b,h,j   |</t>
  </si>
  <si>
    <t>| A,G,I,K,M,O || ∅ || C || E || ∅ |
-----------------------------------
|  d,f,j,l,n  || b || ∅ || ∅ || h |</t>
  </si>
  <si>
    <t>⎛ ∅ ⎞⎛        B,D,F,H,J,L,N        ⎞
⎝ b ⎠⎝ a,c,d,e,f,g,h,i,j,k,l,m,n,o ⎠</t>
  </si>
  <si>
    <t>⎛        F        ⎞⎛  B,D,H,J,L,N  ⎞
⎝ a,c,e,g,i,k,m,o ⎠⎝ b,d,f,h,j,l,n ⎠</t>
  </si>
  <si>
    <t>| ∅ ||       B,D,F,J,N       ||  H,L  |
---------------------------------------
| a || b,c,d,e,f,g,h,i,k,l,o || j,m,n |</t>
  </si>
  <si>
    <t>| ∅ ||    B,D,F,H,J,L,N    ||    ∅    |
---------------------------------------
| a || b,c,d,e,f,h,i,j,k,l || g,m,n,o |</t>
  </si>
  <si>
    <t>| ∅ ||  B,H  || ∅ ||      D,F,J,L,N      |
------------------------------------------
| a || e,g,o || d || b,c,f,h,i,j,k,l,m,n |</t>
  </si>
  <si>
    <t>|     B,D,F,H,J,L,N     || ∅ || ∅ ||  ∅  |
------------------------------------------
| a,b,c,d,e,g,h,i,k,l,m || f || j || n,o |</t>
  </si>
  <si>
    <t>| ∅ ||  ∅  || ∅ ||   B,D,F,H,J,L,N   ||  ∅  |
---------------------------------------------
| l || i,m || f || a,b,c,g,h,j,k,n,o || d,e |</t>
  </si>
  <si>
    <t>| ∅ ||    B,D,F,H,J,L,N    ||  ∅  || ∅ || ∅ |
---------------------------------------------
| a || b,c,d,h,i,j,k,l,n,o || e,m || f || g |</t>
  </si>
  <si>
    <t>⎛ ∅ ⎞⎛       B,D,F,H,J,L,N       ⎞
⎝ b ⎠⎝ a,c,d,e,f,g,h,i,j,k,l,m,n ⎠</t>
  </si>
  <si>
    <t>⎛  B,D,F,H,L,N  ⎞⎛       J       ⎞
⎝ a,c,e,g,i,k,m ⎠⎝ b,d,f,h,j,l,n ⎠</t>
  </si>
  <si>
    <t>| ∅ ||    ∅    ||   B,D,F,H,J,L,N   |
-------------------------------------
| n || d,e,l,m || a,b,c,f,g,h,i,j,k |</t>
  </si>
  <si>
    <t>| ∅ ||    B,D,F,H,J,L,N    ||   ∅   |
-------------------------------------
| a || b,c,d,e,f,g,h,j,k,n || i,l,m |</t>
  </si>
  <si>
    <t>| ∅ ||    B    ||  ∅  ||  D,F,H,J,L,N  |
----------------------------------------
| a || d,h,i,l || f,n || b,c,e,g,j,k,m |</t>
  </si>
  <si>
    <t>| ∅ ||     B,D,F,H,J,L,N     || ∅ || ∅ |
----------------------------------------
| a || b,d,e,f,g,h,i,j,l,m,n || c || k |</t>
  </si>
  <si>
    <t>| ∅ || ∅ ||    H,J,L,N    || ∅ ||  B,D,F  |
-------------------------------------------
| m || h || a,b,e,f,g,j,n || c || d,i,k,l |</t>
  </si>
  <si>
    <t>| ∅ ||    B,D,F,H,J,L,N    || ∅ || ∅ || ∅ |
-------------------------------------------
| a || b,c,d,g,h,i,j,k,m,n || e || f || l |</t>
  </si>
  <si>
    <t>⎛ ∅ ⎞⎛       B,D,F,H,J,L,N       ⎞
⎝ d ⎠⎝ b,c,e,f,g,h,i,j,k,l,m,n,o ⎠</t>
  </si>
  <si>
    <t>⎛  B,F,H,J,L,N  ⎞⎛       D       ⎞
⎝ b,d,f,h,j,l,n ⎠⎝ c,e,g,i,k,m,o ⎠</t>
  </si>
  <si>
    <t>|      B,D,F,H,J,N      || ∅ ||  L  |
-------------------------------------
| b,d,e,g,h,i,j,l,m,n,o || f || c,k |</t>
  </si>
  <si>
    <t>|    B,D,F,H,J,L,N    || ∅ ||   ∅   |
-------------------------------------
| b,c,d,e,g,h,i,k,l,m || f || j,n,o |</t>
  </si>
  <si>
    <t>| ∅ ||    B,D,F,H,J,L,N    ||  ∅  || ∅ |
----------------------------------------
| k || b,c,e,f,g,h,j,l,m,n || i,o || d |</t>
  </si>
  <si>
    <t>|    B,D,F,H,J,L,N    ||  ∅  || ∅ || ∅ |
----------------------------------------
| b,c,d,e,f,g,h,i,m,n || j,k || l || o |</t>
  </si>
  <si>
    <t>| ∅ || F ||     B,D,H,J,L,N     || ∅ || ∅ |
-------------------------------------------
| b || n || c,d,f,g,h,i,k,l,m,o || j || e |</t>
  </si>
  <si>
    <t>|    B,D,F,H,J,L,N    || ∅ || ∅ || ∅ || ∅ |
-------------------------------------------
| b,c,d,f,g,h,i,j,k,l || e || m || n || o |</t>
  </si>
  <si>
    <t>⎛ ∅ ⎞⎛      B,D,F,H,J,L,N      ⎞
⎝ d ⎠⎝ b,c,e,f,g,h,i,j,k,l,m,n ⎠</t>
  </si>
  <si>
    <t>⎛      B      ⎞⎛  D,F,H,J,L,N  ⎞
⎝ c,e,g,i,k,m ⎠⎝ b,d,f,h,j,l,n ⎠</t>
  </si>
  <si>
    <t>| ∅ ||   ∅   ||   B,D,F,H,J,L,N   |
-----------------------------------
| n || d,i,l || b,c,e,f,g,h,j,k,m |</t>
  </si>
  <si>
    <t>| ∅ ||    B,D,F,H,J,L,N    ||  ∅  |
-----------------------------------
| b || c,d,e,f,g,h,i,j,k,l || m,n |</t>
  </si>
  <si>
    <t>|   D,F,J,L,N   || ∅ || ∅ ||   B,H   |
--------------------------------------
| b,c,f,i,j,k,n || h || g || d,e,l,m |</t>
  </si>
  <si>
    <t>|    B,D,F,H,J,L,N    || ∅ || ∅ || ∅ |
--------------------------------------
| b,c,d,e,f,g,h,j,k,l || i || m || n |</t>
  </si>
  <si>
    <t>| ∅ || B,D,F,N ||    H,J,L    || ∅ || ∅ |
-----------------------------------------
| f || b,h,j,l || c,e,g,i,k,n || d || m |</t>
  </si>
  <si>
    <t>|   B,D,F,H,J,L,N   || ∅ || ∅ || ∅ || ∅ |
-----------------------------------------
| b,c,d,e,f,g,h,m,n || i || j || k || l |</t>
  </si>
  <si>
    <t>⎛ N ⎞⎛     B,D,F,H,J,L     ⎞
⎝ ∅ ⎠⎝ a,b,d,e,g,h,j,k,m,n ⎠</t>
  </si>
  <si>
    <t>⎛     B,F,H,J,L,N     ⎞⎛ D ⎞
⎝ a,b,d,e,g,h,j,k,m,n ⎠⎝ ∅ ⎠</t>
  </si>
  <si>
    <t>| L || J,N ||    B,D,F,H    |
-----------------------------
| m || e,g || a,b,d,h,j,k,n |</t>
  </si>
  <si>
    <t>|      F,H,J,L,N      || B || D |
---------------------------------
| a,b,d,e,g,h,j,k,m,n || ∅ || ∅ |</t>
  </si>
  <si>
    <t>| H,L ||   B   ||  D,F,J  || N |
--------------------------------
| a,d || e,m,n || b,g,j,k || h |</t>
  </si>
  <si>
    <t>| ∅ ||     F,J,N     || B,H,L || D |
------------------------------------
| a || b,d,e,g,h,j,k ||  m,n  || ∅ |</t>
  </si>
  <si>
    <t>|   H   || L ||  D,F,J  || N ||   B   |
---------------------------------------
| a,d,h || ∅ || b,g,j,k || ∅ || e,m,n |</t>
  </si>
  <si>
    <t>| ∅ ||  B  ||  F,H,J,L,N  || D || ∅ |
-------------------------------------
| a || j,k || b,d,e,h,m,n || ∅ || g |</t>
  </si>
  <si>
    <t>⎛ L ⎞⎛   B,D,F,H,J,N   ⎞
⎝ ∅ ⎠⎝ a,c,e,g,i,k,m,o ⎠</t>
  </si>
  <si>
    <t>⎛   B,D,F,H,J,L   ⎞⎛ N ⎞
⎝ a,c,e,g,i,k,m,o ⎠⎝ ∅ ⎠</t>
  </si>
  <si>
    <t>|   H   ||  F,L  || B,D,J,N |
-----------------------------
| a,g,o || e,i,m ||   c,k   |</t>
  </si>
  <si>
    <t>| B,J,L ||   ∅   || D,F,H,N |
-----------------------------
| a,e,g || c,i,o ||   k,m   |</t>
  </si>
  <si>
    <t>| D,F,H,J || ∅ || ∅ || B,L,N |
------------------------------
| a,g,k,o || i || c ||  e,m  |</t>
  </si>
  <si>
    <t>| B,J,L ||  H  || D,F,N || ∅ |
------------------------------
| a,e,g || c,o ||  k,m  || i |</t>
  </si>
  <si>
    <t>| ∅ || ∅ || ∅ || B,F,H,J,L || D,N |
-----------------------------------
| a || k || c ||   e,i,m   || g,o |</t>
  </si>
  <si>
    <t>| B,J,L || ∅ || D,F,H || ∅ || N |
---------------------------------
| a,e,g || c ||  k,m  || i || o |</t>
  </si>
  <si>
    <t>⎛ N ⎞⎛  B,D,F,H,J,L  ⎞
⎝ ∅ ⎠⎝ b,d,f,h,j,l,n ⎠</t>
  </si>
  <si>
    <t>⎛  B,D,F,H,J,N  ⎞⎛ L ⎞
⎝ b,d,f,h,j,l,n ⎠⎝ ∅ ⎠</t>
  </si>
  <si>
    <t>| B,D,F,J,L,N || ∅ || H |
-------------------------
| b,d,f,h,j,l || n || ∅ |</t>
  </si>
  <si>
    <t>|   B,D,F,J,N   || H || L |
---------------------------
| b,d,f,h,j,l,n || ∅ || ∅ |</t>
  </si>
  <si>
    <t>|  J  || ∅ || B,D,F,H || L,N |
------------------------------
| b,j || h ||   d,l   || f,n |</t>
  </si>
  <si>
    <t>|    B,D,J,N    || F || H || L |
--------------------------------
| b,d,f,h,j,l,n || ∅ || ∅ || ∅ |</t>
  </si>
  <si>
    <t>| ∅ || ∅ || ∅ || ∅ || B,D,F,H,J,L,N |
-------------------------------------
| j || b || n || f ||     d,h,l     |</t>
  </si>
  <si>
    <t>|  J,N  || B,D,F || ∅ || H || L |
---------------------------------
| b,d,f || j,l,n || h || ∅ || ∅ |</t>
  </si>
  <si>
    <t>BCDEFGJKLMNO</t>
  </si>
  <si>
    <t>⎛ ∅ ⎞⎛  B,C,D,E,F,G,J,K,L,M,N,O  ⎞
⎝ d ⎠⎝ b,c,e,f,g,h,i,j,k,l,m,n,o ⎠</t>
  </si>
  <si>
    <t>⎛       C       ⎞⎛ B,D,E,F,G,J,K,L,M,N,O ⎞
⎝ b,d,f,h,j,l,n ⎠⎝     c,e,g,i,k,m,o     ⎠</t>
  </si>
  <si>
    <t>|     D,E,F,J,M,O     || B,C,L,N || G,K |
-----------------------------------------
| c,d,e,f,g,i,k,l,m,o || b,h,j,n ||  ∅  |</t>
  </si>
  <si>
    <t>| B,C,D,E,F,G,J,K,L,M,N,O ||  ∅  || ∅ |
---------------------------------------
|  b,c,d,e,f,g,h,i,j,k,n  || l,o || m |</t>
  </si>
  <si>
    <t>| B,C,D,E,F,G,J,K,L,M,N,O ||  ∅  || ∅ || ∅ |
--------------------------------------------
|   c,d,e,g,h,i,j,k,l,o   || b,m || f || n |</t>
  </si>
  <si>
    <t>| ∅ || B,C,F,J,K,L,M,N ||  D,E,O  || G || ∅ |
---------------------------------------------
| i || b,d,e,f,h,j,l,n || c,g,k,o || ∅ || m |</t>
  </si>
  <si>
    <t>| B,C,D,E,F,G,J,K,L,M,N,O || ∅ || ∅ || ∅ || ∅ |
-----------------------------------------------
|   b,c,d,e,f,g,h,k,l,n   || i || j || m || o |</t>
  </si>
  <si>
    <t>10000000000000000000</t>
  </si>
  <si>
    <t>ABCDEFGHIJKLMNOPQRST</t>
  </si>
  <si>
    <t>ABCDEFGHIJKLMNOPQRS</t>
  </si>
  <si>
    <t>BCDEFGHIJKLMNOPQRST</t>
  </si>
  <si>
    <t>BCDEFGHIJKLMNOPQRS</t>
  </si>
  <si>
    <t>ABDEGHJKMNPQST</t>
  </si>
  <si>
    <t>ACEGIKMOQS</t>
  </si>
  <si>
    <t>BDFHJLNPRT</t>
  </si>
  <si>
    <t>1000000000000000000000</t>
  </si>
  <si>
    <t>ABCDEFGHIJKLMNOPQRSTUV</t>
  </si>
  <si>
    <t>ABCDEFGHIJKLMNOPQRSTU</t>
  </si>
  <si>
    <t>BCDEFGHIJKLMNOPQRSTUV</t>
  </si>
  <si>
    <t>BCDEFGHIJKLMNOPQRSTU</t>
  </si>
  <si>
    <t>ABDEGHJKMNPQSTV</t>
  </si>
  <si>
    <t>ACEGIKMOQSU</t>
  </si>
  <si>
    <t>BDFHJLNPRTV</t>
  </si>
  <si>
    <t>ACDEFGHIJKLMNOPQRST</t>
  </si>
  <si>
    <t>1000000000000000000000000</t>
  </si>
  <si>
    <t>ABCDEFGHIJKLMNOPQRSTUVWXY</t>
  </si>
  <si>
    <t>ABCDEFGHIJKLMNOPQRSTUVWX</t>
  </si>
  <si>
    <t>BCDEFGHIJKLMNOPQRSTUVWXY</t>
  </si>
  <si>
    <t>BCDEFGHIJKLMNOPQRSTUVWX</t>
  </si>
  <si>
    <t>ABDEGHJKMNPQSTVWY</t>
  </si>
  <si>
    <t>ACEGIKMOQSUWY</t>
  </si>
  <si>
    <t>BDFHJLNPRTVX</t>
  </si>
  <si>
    <t>ACDEFGHIJKLMNOPQRSTVX</t>
  </si>
  <si>
    <t>Requerimientos iniciales</t>
  </si>
  <si>
    <t>Hacer las pruebas inicialespara BIPARTICIONES con las dos estrategias  Qnodes y Geométrica.</t>
  </si>
  <si>
    <t>Al finalizar el proyecto tras diligenciar los datos en las hojas marcadas con los tipos de redes a analizar, resolver lo siguiente:</t>
  </si>
  <si>
    <t>1, Buscar gráficos/representaciones que comparen de forma correcta las estrategias.</t>
  </si>
  <si>
    <t xml:space="preserve">a. Comparar para cada estrategia por subsistema su tiempo de ejecución de forma ordenada ascendentemente según número de elementos (tamaño). Esto se refiere solo a los resultados para  K-particiones. Comparar por cada  k-particion y pruebas comparado valores de perdida entre todas las particiones </t>
  </si>
  <si>
    <t xml:space="preserve">b. Comparar los valores de pérdida por cada subsistema. Se halla la misma k-particion? </t>
  </si>
  <si>
    <t>c. Una representación que permita apreciar estas variaciones en la pérdida (EMD) si se presenta entre las estrategias, tomando el valor de perdida de QNodes  como referencia.</t>
  </si>
  <si>
    <t>10 A</t>
  </si>
  <si>
    <t>Prueba qnodes</t>
  </si>
  <si>
    <t>Alcance</t>
  </si>
  <si>
    <t>Mecanismo</t>
  </si>
  <si>
    <t>tamaño</t>
  </si>
  <si>
    <t>Perdida k=2</t>
  </si>
  <si>
    <t>Perdida k=3</t>
  </si>
  <si>
    <t>Perdida k=4</t>
  </si>
  <si>
    <t>Perdida k=5</t>
  </si>
  <si>
    <t>Tiempo_segundos k=2</t>
  </si>
  <si>
    <t>Tiempo_segundos k=3</t>
  </si>
  <si>
    <t>Tiempo_segundos k=4</t>
  </si>
  <si>
    <t>Tiempo_segundos k=5</t>
  </si>
  <si>
    <t>Prueba Geomip</t>
  </si>
  <si>
    <t>15B</t>
  </si>
  <si>
    <t>20 A</t>
  </si>
  <si>
    <t>10A</t>
  </si>
  <si>
    <t>Sub-sistema</t>
  </si>
  <si>
    <t>Promedio Perdida K=2</t>
  </si>
  <si>
    <t>Promedio Perdida K=3</t>
  </si>
  <si>
    <t>Promedio Perdida K=4</t>
  </si>
  <si>
    <t>Promedio Perdida K=5</t>
  </si>
  <si>
    <t>20A</t>
  </si>
  <si>
    <t>AVERAGE de Perdida k=2</t>
  </si>
  <si>
    <t>AVERAGE de Perdida k=3</t>
  </si>
  <si>
    <t>AVERAGE de Perdida k=4</t>
  </si>
  <si>
    <t>AVERAGE de Perdida k=5</t>
  </si>
  <si>
    <t>Suma total</t>
  </si>
  <si>
    <t>AVERAGE de Tiempo_segundos k=2</t>
  </si>
  <si>
    <t>AVERAGE de Tiempo_segundos k=3</t>
  </si>
  <si>
    <t>AVERAGE de Tiempo_segundos k=4</t>
  </si>
  <si>
    <t>AVERAGE de Tiempo_segundos k=5</t>
  </si>
  <si>
    <t>Prueba</t>
  </si>
  <si>
    <t>k</t>
  </si>
  <si>
    <t>0,0508</t>
  </si>
  <si>
    <t>1,0273</t>
  </si>
  <si>
    <t>0,0117</t>
  </si>
  <si>
    <t>1,0303</t>
  </si>
  <si>
    <t>0,0371</t>
  </si>
  <si>
    <t>0,4854</t>
  </si>
  <si>
    <t>0,0254</t>
  </si>
  <si>
    <t>0,6709</t>
  </si>
  <si>
    <t>Perdida</t>
  </si>
  <si>
    <t>0,0273</t>
  </si>
  <si>
    <t>0,1133</t>
  </si>
  <si>
    <t>0,0244</t>
  </si>
  <si>
    <t>0,1055</t>
  </si>
  <si>
    <t>0,0195</t>
  </si>
  <si>
    <t xml:space="preserve">
0,0156</t>
  </si>
  <si>
    <t>0,5000</t>
  </si>
  <si>
    <t>0,4805</t>
  </si>
  <si>
    <t>0,0059</t>
  </si>
  <si>
    <t>0,0068</t>
  </si>
  <si>
    <t>0,4951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</si>
</sst>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00"/>
    <numFmt numFmtId="165" formatCode="0.0000"/>
  </numFmts>
  <fonts count="18">
    <font>
      <sz val="11.0"/>
      <color theme="1"/>
      <name val="Calibri"/>
      <scheme val="minor"/>
    </font>
    <font>
      <sz val="11.0"/>
      <color theme="1"/>
      <name val="Calibri"/>
    </font>
    <font/>
    <font>
      <sz val="11.0"/>
      <color theme="1"/>
      <name val="Arial"/>
    </font>
    <font>
      <color theme="1"/>
      <name val="Calibri"/>
      <scheme val="minor"/>
    </font>
    <font>
      <sz val="10.0"/>
      <color rgb="FF000000"/>
      <name val="Fira Code"/>
    </font>
    <font>
      <sz val="11.0"/>
      <color rgb="FF000000"/>
      <name val="Calibri"/>
    </font>
    <font>
      <b/>
      <sz val="11.0"/>
      <color theme="1"/>
      <name val="Calibri"/>
    </font>
    <font>
      <u/>
      <sz val="12.0"/>
      <color rgb="FF000000"/>
      <name val="Fira Code"/>
    </font>
    <font>
      <u/>
      <sz val="12.0"/>
      <color rgb="FF000000"/>
      <name val="Fira Code"/>
    </font>
    <font>
      <sz val="11.0"/>
      <color theme="1"/>
      <name val="Fira Code"/>
    </font>
    <font>
      <u/>
      <sz val="12.0"/>
      <color rgb="FF000000"/>
      <name val="Fira Code"/>
    </font>
    <font>
      <u/>
      <sz val="12.0"/>
      <color rgb="FF000000"/>
      <name val="Fira Code"/>
    </font>
    <font>
      <u/>
      <sz val="12.0"/>
      <color rgb="FF000000"/>
      <name val="Fira Code"/>
    </font>
    <font>
      <u/>
      <sz val="12.0"/>
      <color rgb="FF000000"/>
      <name val="Fira Code"/>
    </font>
    <font>
      <u/>
      <sz val="12.0"/>
      <color rgb="FF000000"/>
      <name val="Fira Code"/>
    </font>
    <font>
      <color theme="1"/>
      <name val="Fira Code"/>
    </font>
    <font>
      <b/>
      <color rgb="FFFFFFFF"/>
      <name val="Calibri"/>
      <scheme val="minor"/>
    </font>
  </fonts>
  <fills count="18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2F2F2"/>
        <bgColor rgb="FFF2F2F2"/>
      </patternFill>
    </fill>
    <fill>
      <patternFill patternType="solid">
        <fgColor rgb="FF8ED873"/>
        <bgColor rgb="FF8ED873"/>
      </patternFill>
    </fill>
    <fill>
      <patternFill patternType="solid">
        <fgColor rgb="FFFFFF00"/>
        <bgColor rgb="FFFFFF00"/>
      </patternFill>
    </fill>
    <fill>
      <patternFill patternType="solid">
        <fgColor rgb="FFF1CEEE"/>
        <bgColor rgb="FFF1CEEE"/>
      </patternFill>
    </fill>
    <fill>
      <patternFill patternType="solid">
        <fgColor rgb="FFD84E4E"/>
        <bgColor rgb="FFD84E4E"/>
      </patternFill>
    </fill>
    <fill>
      <patternFill patternType="solid">
        <fgColor rgb="FF00B0F0"/>
        <bgColor rgb="FF00B0F0"/>
      </patternFill>
    </fill>
    <fill>
      <patternFill patternType="solid">
        <fgColor rgb="FFCCCCCC"/>
        <bgColor rgb="FFCCCCCC"/>
      </patternFill>
    </fill>
    <fill>
      <patternFill patternType="solid">
        <fgColor rgb="FFF5A3A3"/>
        <bgColor rgb="FFF5A3A3"/>
      </patternFill>
    </fill>
    <fill>
      <patternFill patternType="solid">
        <fgColor rgb="FFC1E4F5"/>
        <bgColor rgb="FFC1E4F5"/>
      </patternFill>
    </fill>
    <fill>
      <patternFill patternType="solid">
        <fgColor rgb="FFF6C0C0"/>
        <bgColor rgb="FFF6C0C0"/>
      </patternFill>
    </fill>
    <fill>
      <patternFill patternType="solid">
        <fgColor rgb="FFFCE5CD"/>
        <bgColor rgb="FFFCE5CD"/>
      </patternFill>
    </fill>
    <fill>
      <patternFill patternType="solid">
        <fgColor rgb="FFC27BA0"/>
        <bgColor rgb="FFC27BA0"/>
      </patternFill>
    </fill>
    <fill>
      <patternFill patternType="solid">
        <fgColor rgb="FF6D9EEB"/>
        <bgColor rgb="FF6D9EEB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</fills>
  <borders count="24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right/>
      <top/>
      <bottom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</border>
    <border>
      <left style="thin">
        <color rgb="FFC6C6C6"/>
      </left>
      <right style="thin">
        <color rgb="FFC6C6C6"/>
      </right>
      <top style="thin">
        <color rgb="FFC6C6C6"/>
      </top>
      <bottom/>
    </border>
    <border>
      <top/>
      <bottom/>
    </border>
    <border>
      <right style="thin">
        <color rgb="FFC6C6C6"/>
      </right>
    </border>
    <border>
      <left style="thin">
        <color rgb="FFC6C6C6"/>
      </left>
      <top style="thin">
        <color rgb="FFC6C6C6"/>
      </top>
      <bottom style="thin">
        <color rgb="FFC6C6C6"/>
      </bottom>
    </border>
    <border>
      <top style="thin">
        <color rgb="FFC6C6C6"/>
      </top>
      <bottom style="thin">
        <color rgb="FFC6C6C6"/>
      </bottom>
    </border>
    <border>
      <right/>
      <top style="thin">
        <color rgb="FFC6C6C6"/>
      </top>
      <bottom style="thin">
        <color rgb="FFC6C6C6"/>
      </bottom>
    </border>
    <border>
      <left style="thin">
        <color rgb="FFC6C6C6"/>
      </left>
      <right style="thin">
        <color rgb="FFC6C6C6"/>
      </right>
      <top/>
      <bottom style="thin">
        <color rgb="FFC6C6C6"/>
      </bottom>
    </border>
    <border>
      <right style="thin">
        <color rgb="FFC6C6C6"/>
      </right>
      <top style="thin">
        <color rgb="FFC6C6C6"/>
      </top>
      <bottom style="thin">
        <color rgb="FFC6C6C6"/>
      </bottom>
    </border>
    <border>
      <bottom style="thin">
        <color rgb="FFC6C6C6"/>
      </bottom>
    </border>
    <border>
      <left style="thin">
        <color rgb="FFC6C6C6"/>
      </left>
      <right style="thin">
        <color rgb="FFC6C6C6"/>
      </right>
      <bottom style="thin">
        <color rgb="FFC6C6C6"/>
      </bottom>
    </border>
    <border>
      <right style="thin">
        <color rgb="FFC6C6C6"/>
      </right>
      <bottom style="thin">
        <color rgb="FFC6C6C6"/>
      </bottom>
    </border>
    <border>
      <left style="thin">
        <color rgb="FFC6C6C6"/>
      </left>
    </border>
    <border>
      <right style="thin">
        <color rgb="FFFFFFFF"/>
      </right>
      <bottom style="thin">
        <color rgb="FFA3B2CC"/>
      </bottom>
    </border>
    <border>
      <left style="thin">
        <color rgb="FFFFFFFF"/>
      </left>
      <right style="thin">
        <color rgb="FFFFFFFF"/>
      </right>
      <bottom style="thin">
        <color rgb="FFA3B2CC"/>
      </bottom>
    </border>
    <border>
      <left style="thin">
        <color rgb="FFFFFFFF"/>
      </left>
      <bottom style="thin">
        <color rgb="FFA3B2CC"/>
      </bottom>
    </border>
    <border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top style="thin">
        <color rgb="FFA3B2CC"/>
      </top>
      <bottom style="thin">
        <color rgb="FFA3B2CC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Font="1"/>
    <xf borderId="2" fillId="2" fontId="1" numFmtId="0" xfId="0" applyAlignment="1" applyBorder="1" applyFont="1">
      <alignment readingOrder="0"/>
    </xf>
    <xf borderId="3" fillId="2" fontId="1" numFmtId="0" xfId="0" applyBorder="1" applyFont="1"/>
    <xf borderId="4" fillId="0" fontId="2" numFmtId="0" xfId="0" applyBorder="1" applyFont="1"/>
    <xf borderId="2" fillId="2" fontId="1" numFmtId="0" xfId="0" applyBorder="1" applyFont="1"/>
    <xf borderId="0" fillId="0" fontId="3" numFmtId="0" xfId="0" applyAlignment="1" applyFont="1">
      <alignment horizontal="left"/>
    </xf>
    <xf borderId="0" fillId="0" fontId="1" numFmtId="4" xfId="0" applyAlignment="1" applyFont="1" applyNumberFormat="1">
      <alignment horizontal="left"/>
    </xf>
    <xf borderId="0" fillId="0" fontId="3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1" numFmtId="0" xfId="0" applyAlignment="1" applyFont="1">
      <alignment horizontal="left"/>
    </xf>
    <xf borderId="0" fillId="0" fontId="3" numFmtId="4" xfId="0" applyAlignment="1" applyFont="1" applyNumberFormat="1">
      <alignment horizontal="center"/>
    </xf>
    <xf borderId="0" fillId="0" fontId="1" numFmtId="4" xfId="0" applyAlignment="1" applyFont="1" applyNumberFormat="1">
      <alignment horizontal="center"/>
    </xf>
    <xf borderId="0" fillId="0" fontId="4" numFmtId="0" xfId="0" applyAlignment="1" applyFont="1">
      <alignment shrinkToFit="0" vertical="center" wrapText="1"/>
    </xf>
    <xf borderId="0" fillId="0" fontId="4" numFmtId="0" xfId="0" applyFont="1"/>
    <xf borderId="5" fillId="3" fontId="5" numFmtId="0" xfId="0" applyAlignment="1" applyBorder="1" applyFill="1" applyFont="1">
      <alignment horizontal="left"/>
    </xf>
    <xf borderId="5" fillId="0" fontId="6" numFmtId="3" xfId="0" applyAlignment="1" applyBorder="1" applyFont="1" applyNumberFormat="1">
      <alignment horizontal="left" shrinkToFit="0" wrapText="1"/>
    </xf>
    <xf borderId="6" fillId="3" fontId="5" numFmtId="0" xfId="0" applyAlignment="1" applyBorder="1" applyFont="1">
      <alignment horizontal="left"/>
    </xf>
    <xf borderId="3" fillId="4" fontId="7" numFmtId="0" xfId="0" applyAlignment="1" applyBorder="1" applyFill="1" applyFont="1">
      <alignment horizontal="center"/>
    </xf>
    <xf borderId="7" fillId="0" fontId="2" numFmtId="0" xfId="0" applyBorder="1" applyFont="1"/>
    <xf borderId="3" fillId="5" fontId="7" numFmtId="0" xfId="0" applyAlignment="1" applyBorder="1" applyFill="1" applyFont="1">
      <alignment horizontal="center"/>
    </xf>
    <xf borderId="3" fillId="6" fontId="7" numFmtId="0" xfId="0" applyAlignment="1" applyBorder="1" applyFill="1" applyFont="1">
      <alignment horizontal="center"/>
    </xf>
    <xf borderId="0" fillId="0" fontId="7" numFmtId="0" xfId="0" applyAlignment="1" applyFont="1">
      <alignment horizontal="center"/>
    </xf>
    <xf borderId="8" fillId="0" fontId="2" numFmtId="0" xfId="0" applyBorder="1" applyFont="1"/>
    <xf borderId="9" fillId="7" fontId="8" numFmtId="0" xfId="0" applyAlignment="1" applyBorder="1" applyFill="1" applyFont="1">
      <alignment horizontal="center"/>
    </xf>
    <xf borderId="10" fillId="0" fontId="2" numFmtId="0" xfId="0" applyBorder="1" applyFont="1"/>
    <xf borderId="11" fillId="0" fontId="2" numFmtId="0" xfId="0" applyBorder="1" applyFont="1"/>
    <xf borderId="9" fillId="8" fontId="9" numFmtId="0" xfId="0" applyAlignment="1" applyBorder="1" applyFill="1" applyFont="1">
      <alignment horizontal="center"/>
    </xf>
    <xf borderId="5" fillId="9" fontId="5" numFmtId="3" xfId="0" applyAlignment="1" applyBorder="1" applyFill="1" applyFont="1" applyNumberFormat="1">
      <alignment horizontal="left"/>
    </xf>
    <xf borderId="12" fillId="9" fontId="5" numFmtId="0" xfId="0" applyAlignment="1" applyBorder="1" applyFont="1">
      <alignment horizontal="left" shrinkToFit="0" wrapText="1"/>
    </xf>
    <xf borderId="12" fillId="9" fontId="5" numFmtId="0" xfId="0" applyAlignment="1" applyBorder="1" applyFont="1">
      <alignment horizontal="left"/>
    </xf>
    <xf borderId="5" fillId="10" fontId="5" numFmtId="0" xfId="0" applyAlignment="1" applyBorder="1" applyFill="1" applyFont="1">
      <alignment horizontal="left"/>
    </xf>
    <xf borderId="5" fillId="10" fontId="5" numFmtId="0" xfId="0" applyAlignment="1" applyBorder="1" applyFont="1">
      <alignment horizontal="left" readingOrder="0"/>
    </xf>
    <xf borderId="5" fillId="11" fontId="5" numFmtId="0" xfId="0" applyAlignment="1" applyBorder="1" applyFill="1" applyFont="1">
      <alignment horizontal="left"/>
    </xf>
    <xf borderId="5" fillId="3" fontId="5" numFmtId="3" xfId="0" applyAlignment="1" applyBorder="1" applyFont="1" applyNumberFormat="1">
      <alignment horizontal="left"/>
    </xf>
    <xf borderId="5" fillId="12" fontId="5" numFmtId="3" xfId="0" applyAlignment="1" applyBorder="1" applyFill="1" applyFont="1" applyNumberFormat="1">
      <alignment horizontal="center" readingOrder="0" shrinkToFit="0" wrapText="1"/>
    </xf>
    <xf borderId="5" fillId="12" fontId="5" numFmtId="0" xfId="0" applyAlignment="1" applyBorder="1" applyFont="1">
      <alignment horizontal="center" readingOrder="0" shrinkToFit="0" wrapText="1"/>
    </xf>
    <xf borderId="5" fillId="12" fontId="10" numFmtId="0" xfId="0" applyAlignment="1" applyBorder="1" applyFont="1">
      <alignment readingOrder="0"/>
    </xf>
    <xf borderId="5" fillId="11" fontId="10" numFmtId="164" xfId="0" applyAlignment="1" applyBorder="1" applyFont="1" applyNumberFormat="1">
      <alignment shrinkToFit="0" wrapText="1"/>
    </xf>
    <xf borderId="5" fillId="11" fontId="10" numFmtId="0" xfId="0" applyAlignment="1" applyBorder="1" applyFont="1">
      <alignment horizontal="right" vertical="bottom"/>
    </xf>
    <xf borderId="2" fillId="0" fontId="10" numFmtId="0" xfId="0" applyBorder="1" applyFont="1"/>
    <xf borderId="0" fillId="0" fontId="4" numFmtId="49" xfId="0" applyFont="1" applyNumberFormat="1"/>
    <xf borderId="0" fillId="0" fontId="1" numFmtId="3" xfId="0" applyAlignment="1" applyFont="1" applyNumberFormat="1">
      <alignment horizontal="left"/>
    </xf>
    <xf quotePrefix="1" borderId="0" fillId="0" fontId="1" numFmtId="0" xfId="0" applyFont="1"/>
    <xf borderId="5" fillId="0" fontId="6" numFmtId="3" xfId="0" applyAlignment="1" applyBorder="1" applyFont="1" applyNumberFormat="1">
      <alignment horizontal="left"/>
    </xf>
    <xf borderId="13" fillId="0" fontId="11" numFmtId="0" xfId="0" applyAlignment="1" applyBorder="1" applyFont="1">
      <alignment horizontal="center"/>
    </xf>
    <xf borderId="10" fillId="0" fontId="12" numFmtId="0" xfId="0" applyAlignment="1" applyBorder="1" applyFont="1">
      <alignment horizontal="center"/>
    </xf>
    <xf borderId="9" fillId="0" fontId="13" numFmtId="0" xfId="0" applyAlignment="1" applyBorder="1" applyFont="1">
      <alignment horizontal="center"/>
    </xf>
    <xf borderId="9" fillId="0" fontId="14" numFmtId="4" xfId="0" applyAlignment="1" applyBorder="1" applyFont="1" applyNumberFormat="1">
      <alignment horizontal="center"/>
    </xf>
    <xf borderId="10" fillId="0" fontId="15" numFmtId="4" xfId="0" applyAlignment="1" applyBorder="1" applyFont="1" applyNumberFormat="1">
      <alignment horizontal="center"/>
    </xf>
    <xf borderId="0" fillId="0" fontId="10" numFmtId="0" xfId="0" applyFont="1"/>
    <xf borderId="5" fillId="0" fontId="5" numFmtId="0" xfId="0" applyAlignment="1" applyBorder="1" applyFont="1">
      <alignment horizontal="left"/>
    </xf>
    <xf borderId="5" fillId="11" fontId="10" numFmtId="49" xfId="0" applyAlignment="1" applyBorder="1" applyFont="1" applyNumberFormat="1">
      <alignment vertical="bottom"/>
    </xf>
    <xf borderId="5" fillId="11" fontId="10" numFmtId="4" xfId="0" applyAlignment="1" applyBorder="1" applyFont="1" applyNumberFormat="1">
      <alignment horizontal="right" vertical="bottom"/>
    </xf>
    <xf borderId="5" fillId="0" fontId="5" numFmtId="165" xfId="0" applyAlignment="1" applyBorder="1" applyFont="1" applyNumberFormat="1">
      <alignment horizontal="left" shrinkToFit="0" wrapText="1"/>
    </xf>
    <xf borderId="5" fillId="0" fontId="10" numFmtId="3" xfId="0" applyBorder="1" applyFont="1" applyNumberFormat="1"/>
    <xf borderId="5" fillId="0" fontId="5" numFmtId="0" xfId="0" applyAlignment="1" applyBorder="1" applyFont="1">
      <alignment horizontal="left" shrinkToFit="0" wrapText="1"/>
    </xf>
    <xf borderId="0" fillId="0" fontId="1" numFmtId="49" xfId="0" applyAlignment="1" applyFont="1" applyNumberFormat="1">
      <alignment horizontal="left"/>
    </xf>
    <xf borderId="5" fillId="12" fontId="5" numFmtId="3" xfId="0" applyAlignment="1" applyBorder="1" applyFont="1" applyNumberFormat="1">
      <alignment horizontal="center" shrinkToFit="0" wrapText="1"/>
    </xf>
    <xf borderId="5" fillId="12" fontId="5" numFmtId="165" xfId="0" applyAlignment="1" applyBorder="1" applyFont="1" applyNumberFormat="1">
      <alignment horizontal="center" shrinkToFit="0" wrapText="1"/>
    </xf>
    <xf borderId="5" fillId="12" fontId="10" numFmtId="164" xfId="0" applyBorder="1" applyFont="1" applyNumberFormat="1"/>
    <xf borderId="5" fillId="11" fontId="10" numFmtId="164" xfId="0" applyBorder="1" applyFont="1" applyNumberFormat="1"/>
    <xf borderId="5" fillId="11" fontId="10" numFmtId="4" xfId="0" applyBorder="1" applyFont="1" applyNumberFormat="1"/>
    <xf borderId="0" fillId="0" fontId="5" numFmtId="0" xfId="0" applyAlignment="1" applyFont="1">
      <alignment horizontal="left"/>
    </xf>
    <xf borderId="0" fillId="0" fontId="5" numFmtId="0" xfId="0" applyAlignment="1" applyFont="1">
      <alignment horizontal="left" readingOrder="0"/>
    </xf>
    <xf borderId="0" fillId="0" fontId="4" numFmtId="0" xfId="0" applyAlignment="1" applyFont="1">
      <alignment readingOrder="0"/>
    </xf>
    <xf borderId="0" fillId="9" fontId="4" numFmtId="0" xfId="0" applyAlignment="1" applyFont="1">
      <alignment readingOrder="0"/>
    </xf>
    <xf borderId="0" fillId="13" fontId="4" numFmtId="0" xfId="0" applyAlignment="1" applyFill="1" applyFont="1">
      <alignment readingOrder="0"/>
    </xf>
    <xf borderId="5" fillId="13" fontId="5" numFmtId="0" xfId="0" applyAlignment="1" applyBorder="1" applyFont="1">
      <alignment horizontal="left"/>
    </xf>
    <xf borderId="0" fillId="13" fontId="4" numFmtId="0" xfId="0" applyFont="1"/>
    <xf borderId="5" fillId="13" fontId="5" numFmtId="0" xfId="0" applyAlignment="1" applyBorder="1" applyFont="1">
      <alignment horizontal="center" readingOrder="0" shrinkToFit="0" wrapText="1"/>
    </xf>
    <xf borderId="5" fillId="14" fontId="5" numFmtId="0" xfId="0" applyAlignment="1" applyBorder="1" applyFill="1" applyFont="1">
      <alignment horizontal="center" readingOrder="0" shrinkToFit="0" wrapText="1"/>
    </xf>
    <xf borderId="5" fillId="15" fontId="5" numFmtId="0" xfId="0" applyAlignment="1" applyBorder="1" applyFill="1" applyFont="1">
      <alignment horizontal="center" readingOrder="0" shrinkToFit="0" wrapText="1"/>
    </xf>
    <xf borderId="5" fillId="2" fontId="5" numFmtId="0" xfId="0" applyAlignment="1" applyBorder="1" applyFont="1">
      <alignment horizontal="center" readingOrder="0" shrinkToFit="0" wrapText="1"/>
    </xf>
    <xf borderId="5" fillId="13" fontId="10" numFmtId="0" xfId="0" applyAlignment="1" applyBorder="1" applyFont="1">
      <alignment readingOrder="0"/>
    </xf>
    <xf borderId="5" fillId="14" fontId="10" numFmtId="0" xfId="0" applyAlignment="1" applyBorder="1" applyFont="1">
      <alignment readingOrder="0"/>
    </xf>
    <xf borderId="5" fillId="15" fontId="10" numFmtId="0" xfId="0" applyAlignment="1" applyBorder="1" applyFont="1">
      <alignment readingOrder="0"/>
    </xf>
    <xf borderId="5" fillId="2" fontId="10" numFmtId="0" xfId="0" applyAlignment="1" applyBorder="1" applyFont="1">
      <alignment readingOrder="0"/>
    </xf>
    <xf borderId="0" fillId="16" fontId="4" numFmtId="0" xfId="0" applyFill="1" applyFont="1"/>
    <xf borderId="0" fillId="17" fontId="4" numFmtId="0" xfId="0" applyAlignment="1" applyFill="1" applyFont="1">
      <alignment readingOrder="0"/>
    </xf>
    <xf borderId="0" fillId="2" fontId="4" numFmtId="0" xfId="0" applyFont="1"/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9" fontId="1" numFmtId="0" xfId="0" applyAlignment="1" applyFont="1">
      <alignment readingOrder="0" vertical="bottom"/>
    </xf>
    <xf borderId="14" fillId="9" fontId="1" numFmtId="0" xfId="0" applyAlignment="1" applyBorder="1" applyFont="1">
      <alignment readingOrder="0" vertical="bottom"/>
    </xf>
    <xf borderId="5" fillId="3" fontId="16" numFmtId="0" xfId="0" applyAlignment="1" applyBorder="1" applyFont="1">
      <alignment readingOrder="0" vertical="bottom"/>
    </xf>
    <xf borderId="13" fillId="3" fontId="16" numFmtId="0" xfId="0" applyAlignment="1" applyBorder="1" applyFont="1">
      <alignment readingOrder="0" vertical="bottom"/>
    </xf>
    <xf borderId="15" fillId="3" fontId="16" numFmtId="0" xfId="0" applyAlignment="1" applyBorder="1" applyFont="1">
      <alignment readingOrder="0" vertical="bottom"/>
    </xf>
    <xf borderId="16" fillId="3" fontId="16" numFmtId="0" xfId="0" applyAlignment="1" applyBorder="1" applyFont="1">
      <alignment readingOrder="0" vertical="bottom"/>
    </xf>
    <xf borderId="17" fillId="0" fontId="1" numFmtId="0" xfId="0" applyAlignment="1" applyBorder="1" applyFont="1">
      <alignment readingOrder="0" vertical="bottom"/>
    </xf>
    <xf borderId="8" fillId="0" fontId="1" numFmtId="0" xfId="0" applyAlignment="1" applyBorder="1" applyFont="1">
      <alignment readingOrder="0" vertical="bottom"/>
    </xf>
    <xf borderId="18" fillId="0" fontId="17" numFmtId="0" xfId="0" applyAlignment="1" applyBorder="1" applyFont="1">
      <alignment horizontal="center" readingOrder="0"/>
    </xf>
    <xf borderId="19" fillId="0" fontId="17" numFmtId="0" xfId="0" applyAlignment="1" applyBorder="1" applyFont="1">
      <alignment horizontal="center" readingOrder="0"/>
    </xf>
    <xf borderId="20" fillId="0" fontId="17" numFmtId="0" xfId="0" applyAlignment="1" applyBorder="1" applyFont="1">
      <alignment horizontal="center" readingOrder="0"/>
    </xf>
    <xf borderId="21" fillId="0" fontId="4" numFmtId="0" xfId="0" applyAlignment="1" applyBorder="1" applyFont="1">
      <alignment readingOrder="0"/>
    </xf>
    <xf borderId="22" fillId="0" fontId="4" numFmtId="0" xfId="0" applyAlignment="1" applyBorder="1" applyFont="1">
      <alignment readingOrder="0"/>
    </xf>
    <xf borderId="22" fillId="0" fontId="4" numFmtId="49" xfId="0" applyAlignment="1" applyBorder="1" applyFont="1" applyNumberFormat="1">
      <alignment readingOrder="0"/>
    </xf>
    <xf borderId="23" fillId="0" fontId="4" numFmtId="0" xfId="0" applyAlignment="1" applyBorder="1" applyFont="1">
      <alignment readingOrder="0"/>
    </xf>
    <xf borderId="0" fillId="0" fontId="4" numFmtId="4" xfId="0" applyFont="1" applyNumberFormat="1"/>
  </cellXfs>
  <cellStyles count="1">
    <cellStyle xfId="0" name="Normal" builtinId="0"/>
  </cellStyles>
  <dxfs count="6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8A5"/>
          <bgColor rgb="FFFFF8A5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6C7687"/>
          <bgColor rgb="FF6C7687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2">
    <tableStyle count="3" pivot="0" name="Datos2-10-style">
      <tableStyleElement dxfId="3" type="headerRow"/>
      <tableStyleElement dxfId="4" type="firstRowStripe"/>
      <tableStyleElement dxfId="5" type="secondRowStripe"/>
    </tableStyle>
    <tableStyle count="3" pivot="0" name="Datos1-style">
      <tableStyleElement dxfId="3" type="headerRow"/>
      <tableStyleElement dxfId="4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pivotCacheDefinition" Target="pivotCache/pivotCacheDefinition1.xml"/><Relationship Id="rId21" Type="http://schemas.openxmlformats.org/officeDocument/2006/relationships/worksheet" Target="worksheets/sheet18.xml"/><Relationship Id="rId24" Type="http://schemas.openxmlformats.org/officeDocument/2006/relationships/pivotCacheDefinition" Target="pivotCache/pivotCacheDefinition3.xml"/><Relationship Id="rId23" Type="http://schemas.openxmlformats.org/officeDocument/2006/relationships/pivotCacheDefinition" Target="pivotCache/pivotCacheDefinition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pivotCacheDefinition" Target="pivotCache/pivotCacheDefinition5.xml"/><Relationship Id="rId25" Type="http://schemas.openxmlformats.org/officeDocument/2006/relationships/pivotCacheDefinition" Target="pivotCache/pivotCacheDefinition4.xml"/><Relationship Id="rId27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Grafica Perdida vs Tamaño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GA2P15B!$B$1</c:f>
            </c:strRef>
          </c:tx>
          <c:spPr>
            <a:ln cmpd="sng">
              <a:solidFill>
                <a:srgbClr val="156082"/>
              </a:solidFill>
            </a:ln>
          </c:spPr>
          <c:marker>
            <c:symbol val="none"/>
          </c:marker>
          <c:cat>
            <c:strRef>
              <c:f>GA2P15B!$A$2:$A$17</c:f>
            </c:strRef>
          </c:cat>
          <c:val>
            <c:numRef>
              <c:f>GA2P15B!$B$2:$B$17</c:f>
              <c:numCache/>
            </c:numRef>
          </c:val>
          <c:smooth val="0"/>
        </c:ser>
        <c:ser>
          <c:idx val="1"/>
          <c:order val="1"/>
          <c:tx>
            <c:strRef>
              <c:f>GA2P15B!$C$1</c:f>
            </c:strRef>
          </c:tx>
          <c:spPr>
            <a:ln cmpd="sng">
              <a:solidFill>
                <a:srgbClr val="E97132"/>
              </a:solidFill>
            </a:ln>
          </c:spPr>
          <c:marker>
            <c:symbol val="none"/>
          </c:marker>
          <c:cat>
            <c:strRef>
              <c:f>GA2P15B!$A$2:$A$17</c:f>
            </c:strRef>
          </c:cat>
          <c:val>
            <c:numRef>
              <c:f>GA2P15B!$C$2:$C$17</c:f>
              <c:numCache/>
            </c:numRef>
          </c:val>
          <c:smooth val="0"/>
        </c:ser>
        <c:ser>
          <c:idx val="2"/>
          <c:order val="2"/>
          <c:tx>
            <c:strRef>
              <c:f>GA2P15B!$D$1</c:f>
            </c:strRef>
          </c:tx>
          <c:spPr>
            <a:ln cmpd="sng">
              <a:solidFill>
                <a:srgbClr val="196B24"/>
              </a:solidFill>
            </a:ln>
          </c:spPr>
          <c:marker>
            <c:symbol val="none"/>
          </c:marker>
          <c:cat>
            <c:strRef>
              <c:f>GA2P15B!$A$2:$A$17</c:f>
            </c:strRef>
          </c:cat>
          <c:val>
            <c:numRef>
              <c:f>GA2P15B!$D$2:$D$17</c:f>
              <c:numCache/>
            </c:numRef>
          </c:val>
          <c:smooth val="0"/>
        </c:ser>
        <c:ser>
          <c:idx val="3"/>
          <c:order val="3"/>
          <c:tx>
            <c:strRef>
              <c:f>GA2P15B!$E$1</c:f>
            </c:strRef>
          </c:tx>
          <c:spPr>
            <a:ln cmpd="sng">
              <a:solidFill>
                <a:srgbClr val="0F9ED5"/>
              </a:solidFill>
            </a:ln>
          </c:spPr>
          <c:marker>
            <c:symbol val="none"/>
          </c:marker>
          <c:cat>
            <c:strRef>
              <c:f>GA2P15B!$A$2:$A$17</c:f>
            </c:strRef>
          </c:cat>
          <c:val>
            <c:numRef>
              <c:f>GA2P15B!$E$2:$E$17</c:f>
              <c:numCache/>
            </c:numRef>
          </c:val>
          <c:smooth val="0"/>
        </c:ser>
        <c:axId val="1574679804"/>
        <c:axId val="2121224587"/>
      </c:lineChart>
      <c:catAx>
        <c:axId val="15746798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tamaño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1224587"/>
      </c:catAx>
      <c:valAx>
        <c:axId val="21212245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46798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Grafica Tiempo vs Tamaño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'G1.a.1 15B'!$B$1</c:f>
            </c:strRef>
          </c:tx>
          <c:spPr>
            <a:ln cmpd="sng">
              <a:solidFill>
                <a:srgbClr val="156082"/>
              </a:solidFill>
            </a:ln>
          </c:spPr>
          <c:marker>
            <c:symbol val="none"/>
          </c:marker>
          <c:cat>
            <c:strRef>
              <c:f>'G1.a.1 15B'!$A$2:$A$17</c:f>
            </c:strRef>
          </c:cat>
          <c:val>
            <c:numRef>
              <c:f>'G1.a.1 15B'!$B$2:$B$17</c:f>
              <c:numCache/>
            </c:numRef>
          </c:val>
          <c:smooth val="0"/>
        </c:ser>
        <c:ser>
          <c:idx val="1"/>
          <c:order val="1"/>
          <c:tx>
            <c:strRef>
              <c:f>'G1.a.1 15B'!$C$1</c:f>
            </c:strRef>
          </c:tx>
          <c:spPr>
            <a:ln cmpd="sng">
              <a:solidFill>
                <a:srgbClr val="E97132"/>
              </a:solidFill>
            </a:ln>
          </c:spPr>
          <c:marker>
            <c:symbol val="none"/>
          </c:marker>
          <c:cat>
            <c:strRef>
              <c:f>'G1.a.1 15B'!$A$2:$A$17</c:f>
            </c:strRef>
          </c:cat>
          <c:val>
            <c:numRef>
              <c:f>'G1.a.1 15B'!$C$2:$C$17</c:f>
              <c:numCache/>
            </c:numRef>
          </c:val>
          <c:smooth val="0"/>
        </c:ser>
        <c:ser>
          <c:idx val="2"/>
          <c:order val="2"/>
          <c:tx>
            <c:strRef>
              <c:f>'G1.a.1 15B'!$D$1</c:f>
            </c:strRef>
          </c:tx>
          <c:spPr>
            <a:ln cmpd="sng">
              <a:solidFill>
                <a:srgbClr val="196B24"/>
              </a:solidFill>
            </a:ln>
          </c:spPr>
          <c:marker>
            <c:symbol val="none"/>
          </c:marker>
          <c:cat>
            <c:strRef>
              <c:f>'G1.a.1 15B'!$A$2:$A$17</c:f>
            </c:strRef>
          </c:cat>
          <c:val>
            <c:numRef>
              <c:f>'G1.a.1 15B'!$D$2:$D$17</c:f>
              <c:numCache/>
            </c:numRef>
          </c:val>
          <c:smooth val="0"/>
        </c:ser>
        <c:ser>
          <c:idx val="3"/>
          <c:order val="3"/>
          <c:tx>
            <c:strRef>
              <c:f>'G1.a.1 15B'!$E$1</c:f>
            </c:strRef>
          </c:tx>
          <c:spPr>
            <a:ln cmpd="sng">
              <a:solidFill>
                <a:srgbClr val="0F9ED5"/>
              </a:solidFill>
            </a:ln>
          </c:spPr>
          <c:marker>
            <c:symbol val="none"/>
          </c:marker>
          <c:cat>
            <c:strRef>
              <c:f>'G1.a.1 15B'!$A$2:$A$17</c:f>
            </c:strRef>
          </c:cat>
          <c:val>
            <c:numRef>
              <c:f>'G1.a.1 15B'!$E$2:$E$17</c:f>
              <c:numCache/>
            </c:numRef>
          </c:val>
          <c:smooth val="0"/>
        </c:ser>
        <c:axId val="1573365803"/>
        <c:axId val="1667067696"/>
      </c:lineChart>
      <c:catAx>
        <c:axId val="15733658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tamaño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7067696"/>
      </c:catAx>
      <c:valAx>
        <c:axId val="16670676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33658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Grafica Perdida vs Tamaño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GA1P10A!$B$1</c:f>
            </c:strRef>
          </c:tx>
          <c:spPr>
            <a:ln cmpd="sng">
              <a:solidFill>
                <a:srgbClr val="156082"/>
              </a:solidFill>
            </a:ln>
          </c:spPr>
          <c:marker>
            <c:symbol val="none"/>
          </c:marker>
          <c:cat>
            <c:strRef>
              <c:f>GA1P10A!$A$2:$A$11</c:f>
            </c:strRef>
          </c:cat>
          <c:val>
            <c:numRef>
              <c:f>GA1P10A!$B$2:$B$11</c:f>
              <c:numCache/>
            </c:numRef>
          </c:val>
          <c:smooth val="0"/>
        </c:ser>
        <c:ser>
          <c:idx val="1"/>
          <c:order val="1"/>
          <c:tx>
            <c:strRef>
              <c:f>GA1P10A!$C$1</c:f>
            </c:strRef>
          </c:tx>
          <c:spPr>
            <a:ln cmpd="sng">
              <a:solidFill>
                <a:srgbClr val="E97132"/>
              </a:solidFill>
            </a:ln>
          </c:spPr>
          <c:marker>
            <c:symbol val="none"/>
          </c:marker>
          <c:cat>
            <c:strRef>
              <c:f>GA1P10A!$A$2:$A$11</c:f>
            </c:strRef>
          </c:cat>
          <c:val>
            <c:numRef>
              <c:f>GA1P10A!$C$2:$C$11</c:f>
              <c:numCache/>
            </c:numRef>
          </c:val>
          <c:smooth val="0"/>
        </c:ser>
        <c:ser>
          <c:idx val="2"/>
          <c:order val="2"/>
          <c:tx>
            <c:strRef>
              <c:f>GA1P10A!$D$1</c:f>
            </c:strRef>
          </c:tx>
          <c:spPr>
            <a:ln cmpd="sng">
              <a:solidFill>
                <a:srgbClr val="196B24"/>
              </a:solidFill>
            </a:ln>
          </c:spPr>
          <c:marker>
            <c:symbol val="none"/>
          </c:marker>
          <c:cat>
            <c:strRef>
              <c:f>GA1P10A!$A$2:$A$11</c:f>
            </c:strRef>
          </c:cat>
          <c:val>
            <c:numRef>
              <c:f>GA1P10A!$D$2:$D$11</c:f>
              <c:numCache/>
            </c:numRef>
          </c:val>
          <c:smooth val="0"/>
        </c:ser>
        <c:ser>
          <c:idx val="3"/>
          <c:order val="3"/>
          <c:tx>
            <c:strRef>
              <c:f>GA1P10A!$E$1</c:f>
            </c:strRef>
          </c:tx>
          <c:spPr>
            <a:ln cmpd="sng">
              <a:solidFill>
                <a:srgbClr val="0F9ED5"/>
              </a:solidFill>
            </a:ln>
          </c:spPr>
          <c:marker>
            <c:symbol val="none"/>
          </c:marker>
          <c:cat>
            <c:strRef>
              <c:f>GA1P10A!$A$2:$A$11</c:f>
            </c:strRef>
          </c:cat>
          <c:val>
            <c:numRef>
              <c:f>GA1P10A!$E$2:$E$11</c:f>
              <c:numCache/>
            </c:numRef>
          </c:val>
          <c:smooth val="0"/>
        </c:ser>
        <c:axId val="633718745"/>
        <c:axId val="1951695073"/>
      </c:lineChart>
      <c:catAx>
        <c:axId val="6337187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tamaño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1695073"/>
      </c:catAx>
      <c:valAx>
        <c:axId val="19516950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37187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Grafica Tiempo vs Tamaño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'G1.a.1 10A'!$B$1</c:f>
            </c:strRef>
          </c:tx>
          <c:spPr>
            <a:ln cmpd="sng">
              <a:solidFill>
                <a:srgbClr val="156082"/>
              </a:solidFill>
            </a:ln>
          </c:spPr>
          <c:marker>
            <c:symbol val="none"/>
          </c:marker>
          <c:cat>
            <c:strRef>
              <c:f>'G1.a.1 10A'!$A$2:$A$11</c:f>
            </c:strRef>
          </c:cat>
          <c:val>
            <c:numRef>
              <c:f>'G1.a.1 10A'!$B$2:$B$11</c:f>
              <c:numCache/>
            </c:numRef>
          </c:val>
          <c:smooth val="0"/>
        </c:ser>
        <c:ser>
          <c:idx val="1"/>
          <c:order val="1"/>
          <c:tx>
            <c:strRef>
              <c:f>'G1.a.1 10A'!$C$1</c:f>
            </c:strRef>
          </c:tx>
          <c:spPr>
            <a:ln cmpd="sng">
              <a:solidFill>
                <a:srgbClr val="E97132"/>
              </a:solidFill>
            </a:ln>
          </c:spPr>
          <c:marker>
            <c:symbol val="none"/>
          </c:marker>
          <c:cat>
            <c:strRef>
              <c:f>'G1.a.1 10A'!$A$2:$A$11</c:f>
            </c:strRef>
          </c:cat>
          <c:val>
            <c:numRef>
              <c:f>'G1.a.1 10A'!$C$2:$C$11</c:f>
              <c:numCache/>
            </c:numRef>
          </c:val>
          <c:smooth val="0"/>
        </c:ser>
        <c:ser>
          <c:idx val="2"/>
          <c:order val="2"/>
          <c:tx>
            <c:strRef>
              <c:f>'G1.a.1 10A'!$D$1</c:f>
            </c:strRef>
          </c:tx>
          <c:spPr>
            <a:ln cmpd="sng">
              <a:solidFill>
                <a:srgbClr val="196B24"/>
              </a:solidFill>
            </a:ln>
          </c:spPr>
          <c:marker>
            <c:symbol val="none"/>
          </c:marker>
          <c:cat>
            <c:strRef>
              <c:f>'G1.a.1 10A'!$A$2:$A$11</c:f>
            </c:strRef>
          </c:cat>
          <c:val>
            <c:numRef>
              <c:f>'G1.a.1 10A'!$D$2:$D$11</c:f>
              <c:numCache/>
            </c:numRef>
          </c:val>
          <c:smooth val="0"/>
        </c:ser>
        <c:ser>
          <c:idx val="3"/>
          <c:order val="3"/>
          <c:tx>
            <c:strRef>
              <c:f>'G1.a.1 10A'!$E$1</c:f>
            </c:strRef>
          </c:tx>
          <c:spPr>
            <a:ln cmpd="sng">
              <a:solidFill>
                <a:srgbClr val="0F9ED5"/>
              </a:solidFill>
            </a:ln>
          </c:spPr>
          <c:marker>
            <c:symbol val="none"/>
          </c:marker>
          <c:cat>
            <c:strRef>
              <c:f>'G1.a.1 10A'!$A$2:$A$11</c:f>
            </c:strRef>
          </c:cat>
          <c:val>
            <c:numRef>
              <c:f>'G1.a.1 10A'!$E$2:$E$11</c:f>
              <c:numCache/>
            </c:numRef>
          </c:val>
          <c:smooth val="0"/>
        </c:ser>
        <c:axId val="627551658"/>
        <c:axId val="466007593"/>
      </c:lineChart>
      <c:catAx>
        <c:axId val="6275516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tamaño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6007593"/>
      </c:catAx>
      <c:valAx>
        <c:axId val="4660075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75516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Grafica Tiempo vs Tamaño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'G1.a.1 10A geomip'!$B$1</c:f>
            </c:strRef>
          </c:tx>
          <c:spPr>
            <a:ln cmpd="sng">
              <a:solidFill>
                <a:srgbClr val="156082"/>
              </a:solidFill>
            </a:ln>
          </c:spPr>
          <c:marker>
            <c:symbol val="none"/>
          </c:marker>
          <c:cat>
            <c:strRef>
              <c:f>'G1.a.1 10A geomip'!$A$2:$A$11</c:f>
            </c:strRef>
          </c:cat>
          <c:val>
            <c:numRef>
              <c:f>'G1.a.1 10A geomip'!$B$2:$B$11</c:f>
              <c:numCache/>
            </c:numRef>
          </c:val>
          <c:smooth val="0"/>
        </c:ser>
        <c:ser>
          <c:idx val="1"/>
          <c:order val="1"/>
          <c:tx>
            <c:strRef>
              <c:f>'G1.a.1 10A geomip'!$C$1</c:f>
            </c:strRef>
          </c:tx>
          <c:spPr>
            <a:ln cmpd="sng">
              <a:solidFill>
                <a:srgbClr val="E97132"/>
              </a:solidFill>
            </a:ln>
          </c:spPr>
          <c:marker>
            <c:symbol val="none"/>
          </c:marker>
          <c:cat>
            <c:strRef>
              <c:f>'G1.a.1 10A geomip'!$A$2:$A$11</c:f>
            </c:strRef>
          </c:cat>
          <c:val>
            <c:numRef>
              <c:f>'G1.a.1 10A geomip'!$C$2:$C$11</c:f>
              <c:numCache/>
            </c:numRef>
          </c:val>
          <c:smooth val="0"/>
        </c:ser>
        <c:ser>
          <c:idx val="2"/>
          <c:order val="2"/>
          <c:tx>
            <c:strRef>
              <c:f>'G1.a.1 10A geomip'!$D$1</c:f>
            </c:strRef>
          </c:tx>
          <c:spPr>
            <a:ln cmpd="sng">
              <a:solidFill>
                <a:srgbClr val="196B24"/>
              </a:solidFill>
            </a:ln>
          </c:spPr>
          <c:marker>
            <c:symbol val="none"/>
          </c:marker>
          <c:cat>
            <c:strRef>
              <c:f>'G1.a.1 10A geomip'!$A$2:$A$11</c:f>
            </c:strRef>
          </c:cat>
          <c:val>
            <c:numRef>
              <c:f>'G1.a.1 10A geomip'!$D$2:$D$11</c:f>
              <c:numCache/>
            </c:numRef>
          </c:val>
          <c:smooth val="0"/>
        </c:ser>
        <c:ser>
          <c:idx val="3"/>
          <c:order val="3"/>
          <c:tx>
            <c:strRef>
              <c:f>'G1.a.1 10A geomip'!$E$1</c:f>
            </c:strRef>
          </c:tx>
          <c:spPr>
            <a:ln cmpd="sng">
              <a:solidFill>
                <a:srgbClr val="0F9ED5"/>
              </a:solidFill>
            </a:ln>
          </c:spPr>
          <c:marker>
            <c:symbol val="none"/>
          </c:marker>
          <c:cat>
            <c:strRef>
              <c:f>'G1.a.1 10A geomip'!$A$2:$A$11</c:f>
            </c:strRef>
          </c:cat>
          <c:val>
            <c:numRef>
              <c:f>'G1.a.1 10A geomip'!$E$2:$E$11</c:f>
              <c:numCache/>
            </c:numRef>
          </c:val>
          <c:smooth val="0"/>
        </c:ser>
        <c:axId val="504261262"/>
        <c:axId val="933886578"/>
      </c:lineChart>
      <c:catAx>
        <c:axId val="5042612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tamaño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3886578"/>
      </c:catAx>
      <c:valAx>
        <c:axId val="9338865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42612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Grafica Perdida vs Tamaño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'G1.a.2 10A geomip'!$B$1</c:f>
            </c:strRef>
          </c:tx>
          <c:spPr>
            <a:ln cmpd="sng">
              <a:solidFill>
                <a:srgbClr val="156082"/>
              </a:solidFill>
            </a:ln>
          </c:spPr>
          <c:marker>
            <c:symbol val="none"/>
          </c:marker>
          <c:cat>
            <c:strRef>
              <c:f>'G1.a.2 10A geomip'!$A$2:$A$11</c:f>
            </c:strRef>
          </c:cat>
          <c:val>
            <c:numRef>
              <c:f>'G1.a.2 10A geomip'!$B$2:$B$11</c:f>
              <c:numCache/>
            </c:numRef>
          </c:val>
          <c:smooth val="0"/>
        </c:ser>
        <c:ser>
          <c:idx val="1"/>
          <c:order val="1"/>
          <c:tx>
            <c:strRef>
              <c:f>'G1.a.2 10A geomip'!$C$1</c:f>
            </c:strRef>
          </c:tx>
          <c:spPr>
            <a:ln cmpd="sng">
              <a:solidFill>
                <a:srgbClr val="E97132"/>
              </a:solidFill>
            </a:ln>
          </c:spPr>
          <c:marker>
            <c:symbol val="none"/>
          </c:marker>
          <c:cat>
            <c:strRef>
              <c:f>'G1.a.2 10A geomip'!$A$2:$A$11</c:f>
            </c:strRef>
          </c:cat>
          <c:val>
            <c:numRef>
              <c:f>'G1.a.2 10A geomip'!$C$2:$C$11</c:f>
              <c:numCache/>
            </c:numRef>
          </c:val>
          <c:smooth val="0"/>
        </c:ser>
        <c:ser>
          <c:idx val="2"/>
          <c:order val="2"/>
          <c:tx>
            <c:strRef>
              <c:f>'G1.a.2 10A geomip'!$D$1</c:f>
            </c:strRef>
          </c:tx>
          <c:spPr>
            <a:ln cmpd="sng">
              <a:solidFill>
                <a:srgbClr val="196B24"/>
              </a:solidFill>
            </a:ln>
          </c:spPr>
          <c:marker>
            <c:symbol val="none"/>
          </c:marker>
          <c:cat>
            <c:strRef>
              <c:f>'G1.a.2 10A geomip'!$A$2:$A$11</c:f>
            </c:strRef>
          </c:cat>
          <c:val>
            <c:numRef>
              <c:f>'G1.a.2 10A geomip'!$D$2:$D$11</c:f>
              <c:numCache/>
            </c:numRef>
          </c:val>
          <c:smooth val="0"/>
        </c:ser>
        <c:ser>
          <c:idx val="3"/>
          <c:order val="3"/>
          <c:tx>
            <c:strRef>
              <c:f>'G1.a.2 10A geomip'!$E$1</c:f>
            </c:strRef>
          </c:tx>
          <c:spPr>
            <a:ln cmpd="sng">
              <a:solidFill>
                <a:srgbClr val="0F9ED5"/>
              </a:solidFill>
            </a:ln>
          </c:spPr>
          <c:marker>
            <c:symbol val="none"/>
          </c:marker>
          <c:cat>
            <c:strRef>
              <c:f>'G1.a.2 10A geomip'!$A$2:$A$11</c:f>
            </c:strRef>
          </c:cat>
          <c:val>
            <c:numRef>
              <c:f>'G1.a.2 10A geomip'!$E$2:$E$11</c:f>
              <c:numCache/>
            </c:numRef>
          </c:val>
          <c:smooth val="0"/>
        </c:ser>
        <c:axId val="1517451638"/>
        <c:axId val="1886290581"/>
      </c:lineChart>
      <c:catAx>
        <c:axId val="15174516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tamaño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6290581"/>
      </c:catAx>
      <c:valAx>
        <c:axId val="18862905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74516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Grafica Tiempo vs Tamaño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'G1.a.1 15B geomip'!$A$1</c:f>
            </c:strRef>
          </c:tx>
          <c:spPr>
            <a:ln cmpd="sng">
              <a:solidFill>
                <a:srgbClr val="156082"/>
              </a:solidFill>
            </a:ln>
          </c:spPr>
          <c:marker>
            <c:symbol val="none"/>
          </c:marker>
          <c:cat>
            <c:strRef>
              <c:f>'G1.a.1 15B geomip'!$A$2:$A$17</c:f>
            </c:strRef>
          </c:cat>
          <c:val>
            <c:numRef>
              <c:f>'G1.a.1 15B geomip'!$A$2:$A$17</c:f>
              <c:numCache/>
            </c:numRef>
          </c:val>
          <c:smooth val="0"/>
        </c:ser>
        <c:ser>
          <c:idx val="1"/>
          <c:order val="1"/>
          <c:tx>
            <c:strRef>
              <c:f>'G1.a.1 15B geomip'!$B$1</c:f>
            </c:strRef>
          </c:tx>
          <c:spPr>
            <a:ln cmpd="sng">
              <a:solidFill>
                <a:srgbClr val="E97132"/>
              </a:solidFill>
            </a:ln>
          </c:spPr>
          <c:marker>
            <c:symbol val="none"/>
          </c:marker>
          <c:cat>
            <c:strRef>
              <c:f>'G1.a.1 15B geomip'!$A$2:$A$17</c:f>
            </c:strRef>
          </c:cat>
          <c:val>
            <c:numRef>
              <c:f>'G1.a.1 15B geomip'!$B$2:$B$17</c:f>
              <c:numCache/>
            </c:numRef>
          </c:val>
          <c:smooth val="0"/>
        </c:ser>
        <c:ser>
          <c:idx val="2"/>
          <c:order val="2"/>
          <c:tx>
            <c:strRef>
              <c:f>'G1.a.1 15B geomip'!$C$1</c:f>
            </c:strRef>
          </c:tx>
          <c:spPr>
            <a:ln cmpd="sng">
              <a:solidFill>
                <a:srgbClr val="196B24"/>
              </a:solidFill>
            </a:ln>
          </c:spPr>
          <c:marker>
            <c:symbol val="none"/>
          </c:marker>
          <c:cat>
            <c:strRef>
              <c:f>'G1.a.1 15B geomip'!$A$2:$A$17</c:f>
            </c:strRef>
          </c:cat>
          <c:val>
            <c:numRef>
              <c:f>'G1.a.1 15B geomip'!$C$2:$C$17</c:f>
              <c:numCache/>
            </c:numRef>
          </c:val>
          <c:smooth val="0"/>
        </c:ser>
        <c:ser>
          <c:idx val="3"/>
          <c:order val="3"/>
          <c:tx>
            <c:strRef>
              <c:f>'G1.a.1 15B geomip'!$D$1</c:f>
            </c:strRef>
          </c:tx>
          <c:spPr>
            <a:ln cmpd="sng">
              <a:solidFill>
                <a:srgbClr val="0F9ED5"/>
              </a:solidFill>
            </a:ln>
          </c:spPr>
          <c:marker>
            <c:symbol val="none"/>
          </c:marker>
          <c:cat>
            <c:strRef>
              <c:f>'G1.a.1 15B geomip'!$A$2:$A$17</c:f>
            </c:strRef>
          </c:cat>
          <c:val>
            <c:numRef>
              <c:f>'G1.a.1 15B geomip'!$D$2:$D$17</c:f>
              <c:numCache/>
            </c:numRef>
          </c:val>
          <c:smooth val="0"/>
        </c:ser>
        <c:ser>
          <c:idx val="4"/>
          <c:order val="4"/>
          <c:tx>
            <c:strRef>
              <c:f>'G1.a.1 15B geomip'!$E$1</c:f>
            </c:strRef>
          </c:tx>
          <c:spPr>
            <a:ln cmpd="sng">
              <a:solidFill>
                <a:srgbClr val="A02B93"/>
              </a:solidFill>
            </a:ln>
          </c:spPr>
          <c:marker>
            <c:symbol val="none"/>
          </c:marker>
          <c:cat>
            <c:strRef>
              <c:f>'G1.a.1 15B geomip'!$A$2:$A$17</c:f>
            </c:strRef>
          </c:cat>
          <c:val>
            <c:numRef>
              <c:f>'G1.a.1 15B geomip'!$E$2:$E$17</c:f>
              <c:numCache/>
            </c:numRef>
          </c:val>
          <c:smooth val="0"/>
        </c:ser>
        <c:axId val="1873496696"/>
        <c:axId val="585112836"/>
      </c:lineChart>
      <c:catAx>
        <c:axId val="18734966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5112836"/>
      </c:catAx>
      <c:valAx>
        <c:axId val="5851128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34966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Grafica Perdida vs Tamaño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'G1.a.2 15B geomip'!$B$1</c:f>
            </c:strRef>
          </c:tx>
          <c:spPr>
            <a:ln cmpd="sng">
              <a:solidFill>
                <a:srgbClr val="156082"/>
              </a:solidFill>
            </a:ln>
          </c:spPr>
          <c:marker>
            <c:symbol val="none"/>
          </c:marker>
          <c:cat>
            <c:strRef>
              <c:f>'G1.a.2 15B geomip'!$A$2:$A$17</c:f>
            </c:strRef>
          </c:cat>
          <c:val>
            <c:numRef>
              <c:f>'G1.a.2 15B geomip'!$B$2:$B$17</c:f>
              <c:numCache/>
            </c:numRef>
          </c:val>
          <c:smooth val="0"/>
        </c:ser>
        <c:ser>
          <c:idx val="1"/>
          <c:order val="1"/>
          <c:tx>
            <c:strRef>
              <c:f>'G1.a.2 15B geomip'!$C$1</c:f>
            </c:strRef>
          </c:tx>
          <c:spPr>
            <a:ln cmpd="sng">
              <a:solidFill>
                <a:srgbClr val="E97132"/>
              </a:solidFill>
            </a:ln>
          </c:spPr>
          <c:marker>
            <c:symbol val="none"/>
          </c:marker>
          <c:cat>
            <c:strRef>
              <c:f>'G1.a.2 15B geomip'!$A$2:$A$17</c:f>
            </c:strRef>
          </c:cat>
          <c:val>
            <c:numRef>
              <c:f>'G1.a.2 15B geomip'!$C$2:$C$17</c:f>
              <c:numCache/>
            </c:numRef>
          </c:val>
          <c:smooth val="0"/>
        </c:ser>
        <c:ser>
          <c:idx val="2"/>
          <c:order val="2"/>
          <c:tx>
            <c:strRef>
              <c:f>'G1.a.2 15B geomip'!$D$1</c:f>
            </c:strRef>
          </c:tx>
          <c:spPr>
            <a:ln cmpd="sng">
              <a:solidFill>
                <a:srgbClr val="196B24"/>
              </a:solidFill>
            </a:ln>
          </c:spPr>
          <c:marker>
            <c:symbol val="none"/>
          </c:marker>
          <c:cat>
            <c:strRef>
              <c:f>'G1.a.2 15B geomip'!$A$2:$A$17</c:f>
            </c:strRef>
          </c:cat>
          <c:val>
            <c:numRef>
              <c:f>'G1.a.2 15B geomip'!$D$2:$D$17</c:f>
              <c:numCache/>
            </c:numRef>
          </c:val>
          <c:smooth val="0"/>
        </c:ser>
        <c:ser>
          <c:idx val="3"/>
          <c:order val="3"/>
          <c:tx>
            <c:strRef>
              <c:f>'G1.a.2 15B geomip'!$E$1</c:f>
            </c:strRef>
          </c:tx>
          <c:spPr>
            <a:ln cmpd="sng">
              <a:solidFill>
                <a:srgbClr val="0F9ED5"/>
              </a:solidFill>
            </a:ln>
          </c:spPr>
          <c:marker>
            <c:symbol val="none"/>
          </c:marker>
          <c:cat>
            <c:strRef>
              <c:f>'G1.a.2 15B geomip'!$A$2:$A$17</c:f>
            </c:strRef>
          </c:cat>
          <c:val>
            <c:numRef>
              <c:f>'G1.a.2 15B geomip'!$E$2:$E$17</c:f>
              <c:numCache/>
            </c:numRef>
          </c:val>
          <c:smooth val="0"/>
        </c:ser>
        <c:axId val="1180294941"/>
        <c:axId val="726018514"/>
      </c:lineChart>
      <c:catAx>
        <c:axId val="11802949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tamaño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6018514"/>
      </c:catAx>
      <c:valAx>
        <c:axId val="7260185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02949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390525</xdr:colOff>
      <xdr:row>19</xdr:row>
      <xdr:rowOff>76200</xdr:rowOff>
    </xdr:from>
    <xdr:ext cx="5715000" cy="3533775"/>
    <xdr:graphicFrame>
      <xdr:nvGraphicFramePr>
        <xdr:cNvPr id="1313302214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1171575</xdr:colOff>
      <xdr:row>19</xdr:row>
      <xdr:rowOff>161925</xdr:rowOff>
    </xdr:from>
    <xdr:ext cx="5715000" cy="3533775"/>
    <xdr:graphicFrame>
      <xdr:nvGraphicFramePr>
        <xdr:cNvPr id="862773778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13</xdr:row>
      <xdr:rowOff>114300</xdr:rowOff>
    </xdr:from>
    <xdr:ext cx="5715000" cy="3533775"/>
    <xdr:graphicFrame>
      <xdr:nvGraphicFramePr>
        <xdr:cNvPr id="106444690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1238250</xdr:colOff>
      <xdr:row>17</xdr:row>
      <xdr:rowOff>0</xdr:rowOff>
    </xdr:from>
    <xdr:ext cx="5715000" cy="3533775"/>
    <xdr:graphicFrame>
      <xdr:nvGraphicFramePr>
        <xdr:cNvPr id="285130171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1266825</xdr:colOff>
      <xdr:row>13</xdr:row>
      <xdr:rowOff>47625</xdr:rowOff>
    </xdr:from>
    <xdr:ext cx="5715000" cy="3533775"/>
    <xdr:graphicFrame>
      <xdr:nvGraphicFramePr>
        <xdr:cNvPr id="838383119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257175</xdr:colOff>
      <xdr:row>14</xdr:row>
      <xdr:rowOff>0</xdr:rowOff>
    </xdr:from>
    <xdr:ext cx="5715000" cy="3533775"/>
    <xdr:graphicFrame>
      <xdr:nvGraphicFramePr>
        <xdr:cNvPr id="92525237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923925</xdr:colOff>
      <xdr:row>19</xdr:row>
      <xdr:rowOff>47625</xdr:rowOff>
    </xdr:from>
    <xdr:ext cx="5715000" cy="3819525"/>
    <xdr:graphicFrame>
      <xdr:nvGraphicFramePr>
        <xdr:cNvPr id="523377200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581025</xdr:colOff>
      <xdr:row>20</xdr:row>
      <xdr:rowOff>28575</xdr:rowOff>
    </xdr:from>
    <xdr:ext cx="5715000" cy="3533775"/>
    <xdr:graphicFrame>
      <xdr:nvGraphicFramePr>
        <xdr:cNvPr id="24911092" name="Chart 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54:L104" sheet="Graficos"/>
  </cacheSource>
  <cacheFields>
    <cacheField name="Prueba qnodes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</sharedItems>
    </cacheField>
    <cacheField name="Alcance" numFmtId="0">
      <sharedItems>
        <s v="ABCDEFGHIJKLMNO"/>
        <s v="ABCDEFGHIJKLMN"/>
        <s v="BCDEFGHIJKLMNO"/>
        <s v="BCDEFGHIJKLMN"/>
        <s v="ABDEGHJKMN"/>
        <s v="ACEGIKMO"/>
        <s v="BDFHJLN"/>
        <s v="BCDEFGJKLMNO"/>
      </sharedItems>
    </cacheField>
    <cacheField name="Mecanismo" numFmtId="0">
      <sharedItems>
        <s v="ABCDEFGHIJKLMNO"/>
        <s v="ABCDEFGHIJKLMN"/>
        <s v="BCDEFGHIJKLMNO"/>
        <s v="BCDEFGHIJKLMN"/>
        <s v="ABDEGHJKMN"/>
        <s v="ACEGIKMO"/>
        <s v="BDFHJLN"/>
      </sharedItems>
    </cacheField>
    <cacheField name="tamaño" numFmtId="0">
      <sharedItems containsSemiMixedTypes="0" containsString="0" containsNumber="1" containsInteger="1">
        <n v="30.0"/>
        <n v="29.0"/>
        <n v="28.0"/>
        <n v="25.0"/>
        <n v="23.0"/>
        <n v="22.0"/>
        <n v="27.0"/>
        <n v="24.0"/>
        <n v="21.0"/>
        <n v="26.0"/>
        <n v="20.0"/>
        <n v="18.0"/>
        <n v="17.0"/>
        <n v="16.0"/>
        <n v="15.0"/>
        <n v="14.0"/>
      </sharedItems>
    </cacheField>
    <cacheField name="Perdida k=2" numFmtId="0">
      <sharedItems containsSemiMixedTypes="0" containsString="0" containsNumber="1">
        <n v="0.0"/>
        <n v="0.0013"/>
        <n v="0.0044"/>
        <n v="0.0072"/>
        <n v="0.0017"/>
        <n v="0.0058"/>
        <n v="0.0054"/>
        <n v="0.0043"/>
        <n v="0.0092"/>
      </sharedItems>
    </cacheField>
    <cacheField name="Perdida k=3" numFmtId="0">
      <sharedItems containsSemiMixedTypes="0" containsString="0" containsNumber="1">
        <n v="0.2308"/>
        <n v="0.2383"/>
        <n v="0.1711"/>
        <n v="0.2414"/>
        <n v="0.067"/>
        <n v="0.0487"/>
        <n v="0.0745"/>
        <n v="0.1963"/>
        <n v="0.2224"/>
        <n v="0.1603"/>
        <n v="0.2504"/>
        <n v="0.0632"/>
        <n v="0.0864"/>
        <n v="0.06"/>
        <n v="0.1344"/>
        <n v="0.1362"/>
        <n v="0.247"/>
        <n v="0.2576"/>
        <n v="0.0344"/>
        <n v="0.0803"/>
        <n v="0.0615"/>
        <n v="0.1258"/>
        <n v="0.1996"/>
        <n v="0.165"/>
        <n v="0.0786"/>
        <n v="0.0571"/>
        <n v="0.1113"/>
        <n v="0.0844"/>
        <n v="0.0735"/>
        <n v="0.1403"/>
        <n v="0.0245"/>
        <n v="0.0647"/>
        <n v="0.0268"/>
        <n v="0.022"/>
        <n v="0.1054"/>
        <n v="0.0261"/>
        <n v="0.0315"/>
        <n v="0.016"/>
        <n v="0.0421"/>
        <n v="0.0614"/>
        <n v="0.084"/>
        <n v="0.0675"/>
        <n v="0.1053"/>
        <n v="0.025"/>
        <n v="0.0398"/>
        <n v="0.0274"/>
        <n v="0.1501"/>
      </sharedItems>
    </cacheField>
    <cacheField name="Perdida k=4" numFmtId="0">
      <sharedItems containsSemiMixedTypes="0" containsString="0" containsNumber="1">
        <n v="0.2172"/>
        <n v="0.1648"/>
        <n v="0.2527"/>
        <n v="0.284"/>
        <n v="0.0659"/>
        <n v="0.0947"/>
        <n v="0.0663"/>
        <n v="0.1946"/>
        <n v="0.1857"/>
        <n v="0.2576"/>
        <n v="0.2766"/>
        <n v="0.0623"/>
        <n v="0.0924"/>
        <n v="0.0621"/>
        <n v="0.2191"/>
        <n v="0.2134"/>
        <n v="0.2611"/>
        <n v="0.2565"/>
        <n v="0.0634"/>
        <n v="0.0833"/>
        <n v="0.0729"/>
        <n v="0.1803"/>
        <n v="0.2129"/>
        <n v="0.2543"/>
        <n v="0.2383"/>
        <n v="0.0675"/>
        <n v="0.086"/>
        <n v="0.0762"/>
        <n v="0.1276"/>
        <n v="0.153"/>
        <n v="0.1474"/>
        <n v="0.1229"/>
        <n v="0.0173"/>
        <n v="0.0681"/>
        <n v="0.0268"/>
        <n v="0.0904"/>
        <n v="0.1092"/>
        <n v="0.1315"/>
        <n v="0.1136"/>
        <n v="0.0295"/>
        <n v="0.0334"/>
        <n v="0.0504"/>
        <n v="0.07"/>
        <n v="0.1249"/>
        <n v="0.0662"/>
        <n v="0.1119"/>
        <n v="0.0309"/>
        <n v="0.0369"/>
        <n v="0.0528"/>
      </sharedItems>
    </cacheField>
    <cacheField name="Perdida k=5" numFmtId="0">
      <sharedItems containsSemiMixedTypes="0" containsString="0" containsNumber="1">
        <n v="0.2452"/>
        <n v="0.1891"/>
        <n v="0.2646"/>
        <n v="0.2762"/>
        <n v="0.0706"/>
        <n v="0.0971"/>
        <n v="0.1009"/>
        <n v="0.205"/>
        <n v="0.1616"/>
        <n v="0.2785"/>
        <n v="0.2633"/>
        <n v="0.0704"/>
        <n v="0.0902"/>
        <n v="0.0867"/>
        <n v="0.2035"/>
        <n v="0.1619"/>
        <n v="0.2871"/>
        <n v="0.3065"/>
        <n v="0.0584"/>
        <n v="0.0907"/>
        <n v="0.0917"/>
        <n v="0.1986"/>
        <n v="0.1599"/>
        <n v="0.2547"/>
        <n v="0.2826"/>
        <n v="0.0687"/>
        <n v="0.0891"/>
        <n v="0.0835"/>
        <n v="0.1555"/>
        <n v="0.1675"/>
        <n v="0.1808"/>
        <n v="0.1882"/>
        <n v="0.018"/>
        <n v="0.0703"/>
        <n v="0.0634"/>
        <n v="0.1438"/>
        <n v="0.1167"/>
        <n v="0.1104"/>
        <n v="0.1198"/>
        <n v="0.0242"/>
        <n v="0.0475"/>
        <n v="0.0529"/>
        <n v="0.0667"/>
        <n v="0.1358"/>
        <n v="0.0829"/>
        <n v="0.1463"/>
        <n v="0.0314"/>
        <n v="0.0449"/>
        <n v="0.0461"/>
        <n v="0.2064"/>
      </sharedItems>
    </cacheField>
    <cacheField name="Tiempo_segundos k=2" numFmtId="0">
      <sharedItems containsSemiMixedTypes="0" containsString="0" containsNumber="1">
        <n v="0.056"/>
        <n v="0.0376"/>
        <n v="0.2932"/>
        <n v="0.2315"/>
        <n v="2.2352"/>
        <n v="2.1588"/>
        <n v="2.5975"/>
        <n v="0.0399"/>
        <n v="0.0288"/>
        <n v="0.2619"/>
        <n v="0.2191"/>
        <n v="2.0416"/>
        <n v="1.7495"/>
        <n v="1.9899"/>
        <n v="0.0403"/>
        <n v="0.0237"/>
        <n v="0.7208"/>
        <n v="0.2565"/>
        <n v="1.8515"/>
        <n v="1.7955"/>
        <n v="2.0235"/>
        <n v="0.0344"/>
        <n v="0.0245"/>
        <n v="0.6619"/>
        <n v="0.1681"/>
        <n v="1.7792"/>
        <n v="1.5569"/>
        <n v="1.6511"/>
        <n v="0.0277"/>
        <n v="0.0201"/>
        <n v="0.191"/>
        <n v="0.1528"/>
        <n v="1.082"/>
        <n v="0.8531"/>
        <n v="0.7742"/>
        <n v="0.0348"/>
        <n v="0.0192"/>
        <n v="0.152"/>
        <n v="0.4304"/>
        <n v="0.7772"/>
        <n v="0.5141"/>
        <n v="0.4824"/>
        <n v="0.0322"/>
        <n v="0.0204"/>
        <n v="0.3426"/>
        <n v="0.1018"/>
        <n v="0.609"/>
        <n v="0.3863"/>
        <n v="0.4062"/>
        <n v="0.5873"/>
      </sharedItems>
    </cacheField>
    <cacheField name="Tiempo_segundos k=3" numFmtId="0">
      <sharedItems containsSemiMixedTypes="0" containsString="0" containsNumber="1">
        <n v="3.5663"/>
        <n v="2.0399"/>
        <n v="2.2594"/>
        <n v="1.577"/>
        <n v="1.0107"/>
        <n v="0.7993"/>
        <n v="0.7622"/>
        <n v="3.3534"/>
        <n v="1.7803"/>
        <n v="1.9461"/>
        <n v="1.4065"/>
        <n v="0.9189"/>
        <n v="0.7"/>
        <n v="0.6317"/>
        <n v="3.4059"/>
        <n v="1.9244"/>
        <n v="1.9351"/>
        <n v="1.395"/>
        <n v="0.8403"/>
        <n v="0.6388"/>
        <n v="0.6089"/>
        <n v="3.0773"/>
        <n v="1.5558"/>
        <n v="1.6924"/>
        <n v="1.4017"/>
        <n v="0.7058"/>
        <n v="0.5369"/>
        <n v="0.5871"/>
        <n v="2.6014"/>
        <n v="1.3542"/>
        <n v="1.2864"/>
        <n v="0.9167"/>
        <n v="0.5325"/>
        <n v="0.2848"/>
        <n v="0.3557"/>
        <n v="1.8829"/>
        <n v="0.8903"/>
        <n v="1.0592"/>
        <n v="0.7114"/>
        <n v="0.364"/>
        <n v="0.2973"/>
        <n v="0.2526"/>
        <n v="1.897"/>
        <n v="0.6892"/>
        <n v="0.8867"/>
        <n v="0.6377"/>
        <n v="0.3698"/>
        <n v="0.1856"/>
        <n v="0.1715"/>
        <n v="1.5097"/>
      </sharedItems>
    </cacheField>
    <cacheField name="Tiempo_segundos k=4" numFmtId="0">
      <sharedItems containsSemiMixedTypes="0" containsString="0" containsNumber="1">
        <n v="4.2349"/>
        <n v="2.3245"/>
        <n v="2.215"/>
        <n v="1.8129"/>
        <n v="1.2232"/>
        <n v="0.7342"/>
        <n v="0.892"/>
        <n v="3.6531"/>
        <n v="2.124"/>
        <n v="1.9968"/>
        <n v="1.6536"/>
        <n v="1.1561"/>
        <n v="0.7061"/>
        <n v="0.7834"/>
        <n v="3.5267"/>
        <n v="2.1356"/>
        <n v="2.0535"/>
        <n v="1.5596"/>
        <n v="1.0866"/>
        <n v="0.8366"/>
        <n v="0.7918"/>
        <n v="3.2603"/>
        <n v="1.8435"/>
        <n v="1.8161"/>
        <n v="1.4765"/>
        <n v="1.0245"/>
        <n v="0.6055"/>
        <n v="0.7031"/>
        <n v="2.5155"/>
        <n v="1.3149"/>
        <n v="1.3674"/>
        <n v="1.061"/>
        <n v="0.6735"/>
        <n v="0.304"/>
        <n v="0.4038"/>
        <n v="1.9209"/>
        <n v="1.0983"/>
        <n v="1.0556"/>
        <n v="0.8723"/>
        <n v="0.4657"/>
        <n v="0.3489"/>
        <n v="0.2306"/>
        <n v="1.6489"/>
        <n v="0.8669"/>
        <n v="0.8571"/>
        <n v="0.633"/>
        <n v="0.3511"/>
        <n v="0.2494"/>
        <n v="0.2355"/>
        <n v="0.8484"/>
      </sharedItems>
    </cacheField>
    <cacheField name="Tiempo_segundos k=5" numFmtId="0">
      <sharedItems containsSemiMixedTypes="0" containsString="0" containsNumber="1">
        <n v="4.0002"/>
        <n v="2.636"/>
        <n v="2.4276"/>
        <n v="2.0749"/>
        <n v="1.4831"/>
        <n v="0.9462"/>
        <n v="1.0787"/>
        <n v="4.242"/>
        <n v="3.0127"/>
        <n v="2.8672"/>
        <n v="2.3647"/>
        <n v="1.6948"/>
        <n v="1.2706"/>
        <n v="1.2171"/>
        <n v="4.4814"/>
        <n v="3.0557"/>
        <n v="2.7879"/>
        <n v="2.2278"/>
        <n v="1.672"/>
        <n v="1.0195"/>
        <n v="1.1591"/>
        <n v="3.7843"/>
        <n v="2.6588"/>
        <n v="2.489"/>
        <n v="2.0553"/>
        <n v="1.4559"/>
        <n v="0.8886"/>
        <n v="1.0495"/>
        <n v="2.8729"/>
        <n v="1.7873"/>
        <n v="1.9564"/>
        <n v="1.6442"/>
        <n v="0.9999"/>
        <n v="0.5572"/>
        <n v="0.6374"/>
        <n v="2.3385"/>
        <n v="1.3741"/>
        <n v="1.3124"/>
        <n v="1.1413"/>
        <n v="0.6435"/>
        <n v="0.4699"/>
        <n v="0.3943"/>
        <n v="2.0807"/>
        <n v="1.1627"/>
        <n v="1.1147"/>
        <n v="1.0184"/>
        <n v="0.453"/>
        <n v="0.2991"/>
        <n v="0.3493"/>
        <n v="2.3773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H51" sheet="Graficos"/>
  </cacheSource>
  <cacheFields>
    <cacheField name="Prueba qnodes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</sharedItems>
    </cacheField>
    <cacheField name="Alcance" numFmtId="0">
      <sharedItems>
        <s v="ACEGI"/>
        <s v="BDFHJ"/>
        <s v="ABDEGHJ"/>
        <s v="BCDEFGHI"/>
        <s v="ABCDEFGHI"/>
        <s v="BCDEFGHIJ"/>
        <s v="ABCDEFGHIJ"/>
      </sharedItems>
    </cacheField>
    <cacheField name="Mecanismo" numFmtId="0">
      <sharedItems>
        <s v="ACEGI"/>
        <s v="BDFHJ"/>
        <s v="ABDEGHJ"/>
        <s v="BCDEFGHI"/>
        <s v="ABCDEFGHI"/>
        <s v="BCDEFGHIJ"/>
        <s v="ABCDEFGHIJ"/>
      </sharedItems>
    </cacheField>
    <cacheField name="tamaño" numFmtId="0">
      <sharedItems containsSemiMixedTypes="0" containsString="0" containsNumber="1" containsInteger="1">
        <n v="10.0"/>
        <n v="12.0"/>
        <n v="13.0"/>
        <n v="14.0"/>
        <n v="15.0"/>
        <n v="16.0"/>
        <n v="17.0"/>
        <n v="18.0"/>
        <n v="19.0"/>
        <n v="20.0"/>
      </sharedItems>
    </cacheField>
    <cacheField name="Perdida k=2" numFmtId="0">
      <sharedItems containsSemiMixedTypes="0" containsString="0" containsNumber="1">
        <n v="0.0508"/>
        <n v="0.0117"/>
        <n v="0.0371"/>
        <n v="0.0254"/>
        <n v="0.0273"/>
        <n v="0.1133"/>
        <n v="0.0244"/>
        <n v="0.1055"/>
        <n v="0.0195"/>
        <n v="0.0156"/>
        <n v="0.5"/>
        <n v="0.4805"/>
        <n v="0.0059"/>
        <n v="0.0068"/>
        <n v="0.4951"/>
      </sharedItems>
    </cacheField>
    <cacheField name="Perdida k=3" numFmtId="0">
      <sharedItems containsSemiMixedTypes="0" containsString="0" containsNumber="1">
        <n v="1.0273"/>
        <n v="1.0303"/>
        <n v="0.4854"/>
        <n v="0.6709"/>
        <n v="0.623"/>
        <n v="0.1113"/>
        <n v="0.04"/>
        <n v="2.8574"/>
        <n v="0.5166"/>
        <n v="0.0391"/>
        <n v="0.5107"/>
        <n v="0.5352"/>
        <n v="0.3438"/>
        <n v="0.1875"/>
        <n v="2.7324"/>
        <n v="0.7578"/>
        <n v="0.0508"/>
        <n v="0.5625"/>
        <n v="0.0156"/>
        <n v="1.0186"/>
        <n v="0.2617"/>
        <n v="0.0234"/>
        <n v="0.3281"/>
        <n v="0.0469"/>
        <n v="2.2246"/>
        <n v="0.7559"/>
        <n v="0.5049"/>
        <n v="0.3867"/>
        <n v="0.5078"/>
        <n v="0.0527"/>
        <n v="0.0869"/>
        <n v="0.75"/>
        <n v="0.0127"/>
        <n v="0.2969"/>
        <n v="0.0938"/>
        <n v="1.4746"/>
        <n v="0.5176"/>
        <n v="0.5117"/>
        <n v="0.3857"/>
        <n v="0.2246"/>
        <n v="0.1152"/>
        <n v="0.1074"/>
      </sharedItems>
    </cacheField>
    <cacheField name="Perdida k=4" numFmtId="0">
      <sharedItems containsSemiMixedTypes="0" containsString="0" containsNumber="1">
        <n v="3.3828"/>
        <n v="1.0615"/>
        <n v="1.4805"/>
        <n v="0.7637"/>
        <n v="0.7832"/>
        <n v="0.4346"/>
        <n v="0.1211"/>
        <n v="2.4678"/>
        <n v="0.583"/>
        <n v="1.5986"/>
        <n v="0.666"/>
        <n v="0.4092"/>
        <n v="0.0967"/>
        <n v="3.332"/>
        <n v="0.5693"/>
        <n v="1.5537"/>
        <n v="1.0967"/>
        <n v="0.5527"/>
        <n v="0.4121"/>
        <n v="0.1943"/>
        <n v="1.5146"/>
        <n v="1.0586"/>
        <n v="0.4844"/>
        <n v="0.3594"/>
        <n v="0.6289"/>
        <n v="0.1143"/>
        <n v="0.1768"/>
        <n v="2.5977"/>
        <n v="1.6064"/>
        <n v="0.5205"/>
        <n v="0.5137"/>
        <n v="0.541"/>
        <n v="0.1953"/>
        <n v="0.3223"/>
        <n v="0.9805"/>
        <n v="0.4375"/>
        <n v="0.6455"/>
        <n v="0.3965"/>
        <n v="0.332"/>
        <n v="0.2715"/>
        <n v="2.0078"/>
        <n v="0.7676"/>
        <n v="0.5059"/>
        <n v="0.3936"/>
        <n v="0.252"/>
        <n v="0.1836"/>
        <n v="0.125"/>
      </sharedItems>
    </cacheField>
    <cacheField name="Perdida k=5" numFmtId="0">
      <sharedItems containsSemiMixedTypes="0" containsString="0" containsNumber="1">
        <n v="4.3984"/>
        <n v="1.334"/>
        <n v="2.0576"/>
        <n v="0.8594"/>
        <n v="0.8086"/>
        <n v="0.54"/>
        <n v="0.2646"/>
        <n v="3.9355"/>
        <n v="1.083"/>
        <n v="1.6484"/>
        <n v="0.7949"/>
        <n v="0.6914"/>
        <n v="0.5029"/>
        <n v="0.2529"/>
        <n v="3.5596"/>
        <n v="1.3145"/>
        <n v="1.5762"/>
        <n v="0.8008"/>
        <n v="0.6953"/>
        <n v="0.4316"/>
        <n v="0.3555"/>
        <n v="3.2578"/>
        <n v="1.5635"/>
        <n v="0.6523"/>
        <n v="0.8604"/>
        <n v="0.3447"/>
        <n v="0.3145"/>
        <n v="2.8652"/>
        <n v="0.7871"/>
        <n v="0.7773"/>
        <n v="0.6055"/>
        <n v="0.6084"/>
        <n v="0.3379"/>
        <n v="0.334"/>
        <n v="2.0"/>
        <n v="0.2744"/>
        <n v="0.8682"/>
        <n v="0.3965"/>
        <n v="0.3477"/>
        <n v="0.2383"/>
        <n v="0.1807"/>
        <n v="2.1162"/>
        <n v="1.7939"/>
        <n v="0.6279"/>
        <n v="0.5381"/>
        <n v="0.3848"/>
        <n v="0.1934"/>
        <n v="0.1465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L51" sheet="Graficos"/>
  </cacheSource>
  <cacheFields>
    <cacheField name="Prueba qnodes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</sharedItems>
    </cacheField>
    <cacheField name="Alcance" numFmtId="0">
      <sharedItems>
        <s v="ACEGI"/>
        <s v="BDFHJ"/>
        <s v="ABDEGHJ"/>
        <s v="BCDEFGHI"/>
        <s v="ABCDEFGHI"/>
        <s v="BCDEFGHIJ"/>
        <s v="ABCDEFGHIJ"/>
      </sharedItems>
    </cacheField>
    <cacheField name="Mecanismo" numFmtId="0">
      <sharedItems>
        <s v="ACEGI"/>
        <s v="BDFHJ"/>
        <s v="ABDEGHJ"/>
        <s v="BCDEFGHI"/>
        <s v="ABCDEFGHI"/>
        <s v="BCDEFGHIJ"/>
        <s v="ABCDEFGHIJ"/>
      </sharedItems>
    </cacheField>
    <cacheField name="tamaño" numFmtId="0">
      <sharedItems containsSemiMixedTypes="0" containsString="0" containsNumber="1" containsInteger="1">
        <n v="10.0"/>
        <n v="12.0"/>
        <n v="13.0"/>
        <n v="14.0"/>
        <n v="15.0"/>
        <n v="16.0"/>
        <n v="17.0"/>
        <n v="18.0"/>
        <n v="19.0"/>
        <n v="20.0"/>
      </sharedItems>
    </cacheField>
    <cacheField name="Perdida k=2" numFmtId="0">
      <sharedItems containsSemiMixedTypes="0" containsString="0" containsNumber="1">
        <n v="0.0508"/>
        <n v="0.0117"/>
        <n v="0.0371"/>
        <n v="0.0254"/>
        <n v="0.0273"/>
        <n v="0.1133"/>
        <n v="0.0244"/>
        <n v="0.1055"/>
        <n v="0.0195"/>
        <n v="0.0156"/>
        <n v="0.5"/>
        <n v="0.4805"/>
        <n v="0.0059"/>
        <n v="0.0068"/>
        <n v="0.4951"/>
      </sharedItems>
    </cacheField>
    <cacheField name="Perdida k=3" numFmtId="0">
      <sharedItems containsSemiMixedTypes="0" containsString="0" containsNumber="1">
        <n v="1.0273"/>
        <n v="1.0303"/>
        <n v="0.4854"/>
        <n v="0.6709"/>
        <n v="0.623"/>
        <n v="0.1113"/>
        <n v="0.04"/>
        <n v="2.8574"/>
        <n v="0.5166"/>
        <n v="0.0391"/>
        <n v="0.5107"/>
        <n v="0.5352"/>
        <n v="0.3438"/>
        <n v="0.1875"/>
        <n v="2.7324"/>
        <n v="0.7578"/>
        <n v="0.0508"/>
        <n v="0.5625"/>
        <n v="0.0156"/>
        <n v="1.0186"/>
        <n v="0.2617"/>
        <n v="0.0234"/>
        <n v="0.3281"/>
        <n v="0.0469"/>
        <n v="2.2246"/>
        <n v="0.7559"/>
        <n v="0.5049"/>
        <n v="0.3867"/>
        <n v="0.5078"/>
        <n v="0.0527"/>
        <n v="0.0869"/>
        <n v="0.75"/>
        <n v="0.0127"/>
        <n v="0.2969"/>
        <n v="0.0938"/>
        <n v="1.4746"/>
        <n v="0.5176"/>
        <n v="0.5117"/>
        <n v="0.3857"/>
        <n v="0.2246"/>
        <n v="0.1152"/>
        <n v="0.1074"/>
      </sharedItems>
    </cacheField>
    <cacheField name="Perdida k=4" numFmtId="0">
      <sharedItems containsSemiMixedTypes="0" containsString="0" containsNumber="1">
        <n v="3.3828"/>
        <n v="1.0615"/>
        <n v="1.4805"/>
        <n v="0.7637"/>
        <n v="0.7832"/>
        <n v="0.4346"/>
        <n v="0.1211"/>
        <n v="2.4678"/>
        <n v="0.583"/>
        <n v="1.5986"/>
        <n v="0.666"/>
        <n v="0.4092"/>
        <n v="0.0967"/>
        <n v="3.332"/>
        <n v="0.5693"/>
        <n v="1.5537"/>
        <n v="1.0967"/>
        <n v="0.5527"/>
        <n v="0.4121"/>
        <n v="0.1943"/>
        <n v="1.5146"/>
        <n v="1.0586"/>
        <n v="0.4844"/>
        <n v="0.3594"/>
        <n v="0.6289"/>
        <n v="0.1143"/>
        <n v="0.1768"/>
        <n v="2.5977"/>
        <n v="1.6064"/>
        <n v="0.5205"/>
        <n v="0.5137"/>
        <n v="0.541"/>
        <n v="0.1953"/>
        <n v="0.3223"/>
        <n v="0.9805"/>
        <n v="0.4375"/>
        <n v="0.6455"/>
        <n v="0.3965"/>
        <n v="0.332"/>
        <n v="0.2715"/>
        <n v="2.0078"/>
        <n v="0.7676"/>
        <n v="0.5059"/>
        <n v="0.3936"/>
        <n v="0.252"/>
        <n v="0.1836"/>
        <n v="0.125"/>
      </sharedItems>
    </cacheField>
    <cacheField name="Perdida k=5" numFmtId="0">
      <sharedItems containsSemiMixedTypes="0" containsString="0" containsNumber="1">
        <n v="4.3984"/>
        <n v="1.334"/>
        <n v="2.0576"/>
        <n v="0.8594"/>
        <n v="0.8086"/>
        <n v="0.54"/>
        <n v="0.2646"/>
        <n v="3.9355"/>
        <n v="1.083"/>
        <n v="1.6484"/>
        <n v="0.7949"/>
        <n v="0.6914"/>
        <n v="0.5029"/>
        <n v="0.2529"/>
        <n v="3.5596"/>
        <n v="1.3145"/>
        <n v="1.5762"/>
        <n v="0.8008"/>
        <n v="0.6953"/>
        <n v="0.4316"/>
        <n v="0.3555"/>
        <n v="3.2578"/>
        <n v="1.5635"/>
        <n v="0.6523"/>
        <n v="0.8604"/>
        <n v="0.3447"/>
        <n v="0.3145"/>
        <n v="2.8652"/>
        <n v="0.7871"/>
        <n v="0.7773"/>
        <n v="0.6055"/>
        <n v="0.6084"/>
        <n v="0.3379"/>
        <n v="0.334"/>
        <n v="2.0"/>
        <n v="0.2744"/>
        <n v="0.8682"/>
        <n v="0.3965"/>
        <n v="0.3477"/>
        <n v="0.2383"/>
        <n v="0.1807"/>
        <n v="2.1162"/>
        <n v="1.7939"/>
        <n v="0.6279"/>
        <n v="0.5381"/>
        <n v="0.3848"/>
        <n v="0.1934"/>
        <n v="0.1465"/>
      </sharedItems>
    </cacheField>
    <cacheField name="Tiempo_segundos k=2" numFmtId="0">
      <sharedItems containsSemiMixedTypes="0" containsString="0" containsNumber="1">
        <n v="0.0718"/>
        <n v="0.0586"/>
        <n v="0.0552"/>
        <n v="0.0551"/>
        <n v="0.0976"/>
        <n v="0.096"/>
        <n v="0.0914"/>
        <n v="0.0995"/>
        <n v="0.1639"/>
        <n v="0.1464"/>
        <n v="0.1215"/>
        <n v="0.1154"/>
        <n v="0.2385"/>
        <n v="0.1999"/>
        <n v="0.2039"/>
        <n v="0.231"/>
        <n v="0.1436"/>
        <n v="0.1519"/>
        <n v="0.159"/>
        <n v="0.1982"/>
        <n v="0.1605"/>
        <n v="0.2577"/>
        <n v="0.2377"/>
        <n v="0.2329"/>
        <n v="0.1993"/>
        <n v="0.202"/>
        <n v="0.2043"/>
        <n v="0.3018"/>
        <n v="0.2991"/>
        <n v="0.2958"/>
        <n v="0.2406"/>
        <n v="0.2875"/>
        <n v="0.4252"/>
        <n v="0.366"/>
        <n v="0.3808"/>
        <n v="0.4256"/>
        <n v="0.3584"/>
        <n v="0.3619"/>
        <n v="0.5066"/>
        <n v="0.5444"/>
        <n v="0.456"/>
        <n v="0.5266"/>
        <n v="0.4873"/>
        <n v="0.5794"/>
        <n v="0.67"/>
        <n v="0.6079"/>
        <n v="0.7161"/>
        <n v="0.7613"/>
        <n v="0.9596"/>
      </sharedItems>
    </cacheField>
    <cacheField name="Tiempo_segundos k=3" numFmtId="0">
      <sharedItems containsSemiMixedTypes="0" containsString="0" containsNumber="1">
        <n v="1.1154"/>
        <n v="0.9432"/>
        <n v="0.7711"/>
        <n v="0.7876"/>
        <n v="0.0073"/>
        <n v="0.3657"/>
        <n v="0.4699"/>
        <n v="0.8058"/>
        <n v="0.7133"/>
        <n v="0.7383"/>
        <n v="0.5766"/>
        <n v="0.6536"/>
        <n v="0.0337"/>
        <n v="0.4083"/>
        <n v="0.8769"/>
        <n v="0.6742"/>
        <n v="0.6914"/>
        <n v="0.6837"/>
        <n v="0.5322"/>
        <n v="0.2566"/>
        <n v="0.3393"/>
        <n v="0.8096"/>
        <n v="0.5776"/>
        <n v="0.5941"/>
        <n v="0.5823"/>
        <n v="0.3868"/>
        <n v="0.2551"/>
        <n v="0.3482"/>
        <n v="0.5867"/>
        <n v="0.5321"/>
        <n v="0.4731"/>
        <n v="0.4395"/>
        <n v="0.3143"/>
        <n v="0.2052"/>
        <n v="0.2119"/>
        <n v="0.3664"/>
        <n v="0.2655"/>
        <n v="0.3022"/>
        <n v="0.2512"/>
        <n v="0.1623"/>
        <n v="0.1291"/>
        <n v="0.0117"/>
        <n v="0.0454"/>
        <n v="0.0325"/>
        <n v="0.1994"/>
        <n v="0.2393"/>
        <n v="0.2469"/>
        <n v="0.0092"/>
        <n v="0.0659"/>
      </sharedItems>
    </cacheField>
    <cacheField name="Tiempo_segundos k=4" numFmtId="0">
      <sharedItems containsSemiMixedTypes="0" containsString="0" containsNumber="1">
        <n v="0.6364"/>
        <n v="0.527"/>
        <n v="0.53"/>
        <n v="0.415"/>
        <n v="0.2704"/>
        <n v="0.3611"/>
        <n v="0.3309"/>
        <n v="0.5645"/>
        <n v="0.4859"/>
        <n v="0.5174"/>
        <n v="0.4595"/>
        <n v="0.4663"/>
        <n v="0.2809"/>
        <n v="0.2941"/>
        <n v="0.4964"/>
        <n v="0.489"/>
        <n v="0.3881"/>
        <n v="0.4635"/>
        <n v="0.3953"/>
        <n v="0.2575"/>
        <n v="0.3009"/>
        <n v="0.4785"/>
        <n v="0.4142"/>
        <n v="0.3265"/>
        <n v="0.3629"/>
        <n v="0.2981"/>
        <n v="0.244"/>
        <n v="0.2811"/>
        <n v="0.4049"/>
        <n v="0.3507"/>
        <n v="0.3431"/>
        <n v="0.2296"/>
        <n v="0.2228"/>
        <n v="0.166"/>
        <n v="0.1729"/>
        <n v="0.2195"/>
        <n v="0.2362"/>
        <n v="0.1862"/>
        <n v="0.1802"/>
        <n v="0.1157"/>
        <n v="0.075"/>
        <n v="0.0976"/>
        <n v="0.2393"/>
        <n v="0.2165"/>
        <n v="0.2204"/>
        <n v="0.1483"/>
        <n v="0.1683"/>
        <n v="0.0591"/>
        <n v="0.0625"/>
      </sharedItems>
    </cacheField>
    <cacheField name="Tiempo_segundos k=5" numFmtId="0">
      <sharedItems containsSemiMixedTypes="0" containsString="0" containsNumber="1">
        <n v="0.6302"/>
        <n v="0.6407"/>
        <n v="0.6446"/>
        <n v="0.6133"/>
        <n v="0.449"/>
        <n v="0.4338"/>
        <n v="0.321"/>
        <n v="0.5584"/>
        <n v="0.554"/>
        <n v="0.5825"/>
        <n v="0.5314"/>
        <n v="0.4364"/>
        <n v="0.2332"/>
        <n v="0.3306"/>
        <n v="0.6713"/>
        <n v="0.5491"/>
        <n v="0.568"/>
        <n v="0.5404"/>
        <n v="0.4414"/>
        <n v="0.2855"/>
        <n v="0.2629"/>
        <n v="0.4385"/>
        <n v="0.4678"/>
        <n v="0.4058"/>
        <n v="0.4366"/>
        <n v="0.3467"/>
        <n v="0.2026"/>
        <n v="0.225"/>
        <n v="0.4664"/>
        <n v="0.3867"/>
        <n v="0.3961"/>
        <n v="0.3463"/>
        <n v="0.1957"/>
        <n v="0.158"/>
        <n v="0.1531"/>
        <n v="0.3933"/>
        <n v="0.4256"/>
        <n v="0.392"/>
        <n v="0.1747"/>
        <n v="0.1559"/>
        <n v="0.1798"/>
        <n v="0.5122"/>
        <n v="0.3723"/>
        <n v="0.4529"/>
        <n v="0.3891"/>
        <n v="0.2199"/>
        <n v="0.1302"/>
        <n v="0.1263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N2:Y51" sheet="Graficos"/>
  </cacheSource>
  <cacheFields>
    <cacheField name="Prueba Geomip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</sharedItems>
    </cacheField>
    <cacheField name="Alcance" numFmtId="0">
      <sharedItems>
        <s v="ACEGI"/>
        <s v="BDFHJ"/>
        <s v="ABDEGHJ"/>
        <s v="BCDEFGHI"/>
        <s v="ABCDEFGHI"/>
        <s v="BCDEFGHIJ"/>
        <s v="ABCDEFGHIJ"/>
      </sharedItems>
    </cacheField>
    <cacheField name="Mecanismo" numFmtId="0">
      <sharedItems>
        <s v="ACEGI"/>
        <s v="BDFHJ"/>
        <s v="ABDEGHJ"/>
        <s v="BCDEFGHI"/>
        <s v="ABCDEFGHI"/>
        <s v="BCDEFGHIJ"/>
        <s v="ABCDEFGHIJ"/>
      </sharedItems>
    </cacheField>
    <cacheField name="tamaño" numFmtId="0">
      <sharedItems containsSemiMixedTypes="0" containsString="0" containsNumber="1" containsInteger="1">
        <n v="10.0"/>
        <n v="12.0"/>
        <n v="13.0"/>
        <n v="14.0"/>
        <n v="15.0"/>
        <n v="16.0"/>
        <n v="17.0"/>
        <n v="18.0"/>
        <n v="19.0"/>
        <n v="20.0"/>
      </sharedItems>
    </cacheField>
    <cacheField name="Perdida k=2" numFmtId="0">
      <sharedItems containsSemiMixedTypes="0" containsString="0" containsNumber="1">
        <n v="0.472656"/>
        <n v="0.004883"/>
        <n v="0.011719"/>
        <n v="0.005859"/>
        <n v="0.015625"/>
        <n v="0.003906"/>
        <n v="0.019531"/>
        <n v="0.480469"/>
        <n v="0.484375"/>
        <n v="0.006836"/>
        <n v="0.024414"/>
      </sharedItems>
    </cacheField>
    <cacheField name="Perdida k=3" numFmtId="0">
      <sharedItems containsSemiMixedTypes="0" containsString="0" containsNumber="1">
        <n v="0.953125"/>
        <n v="0.010742"/>
        <n v="0.011719"/>
        <n v="0.023438"/>
        <n v="0.025391"/>
        <n v="0.040039"/>
        <n v="0.015625"/>
        <n v="0.024414"/>
        <n v="0.046875"/>
        <n v="0.964844"/>
        <n v="0.016602"/>
        <n v="0.111328"/>
        <n v="0.052734"/>
        <n v="0.044922"/>
        <n v="0.515625"/>
        <n v="0.012695"/>
        <n v="0.020508"/>
        <n v="0.066406"/>
        <n v="0.494141"/>
        <n v="0.505859"/>
        <n v="0.018555"/>
        <n v="0.119141"/>
        <n v="0.061523"/>
        <n v="0.049805"/>
      </sharedItems>
    </cacheField>
    <cacheField name="Perdida k=4" numFmtId="0">
      <sharedItems containsSemiMixedTypes="0" containsString="0" containsNumber="1">
        <n v="1.433594"/>
        <n v="0.030273"/>
        <n v="0.023438"/>
        <n v="0.042969"/>
        <n v="0.052734"/>
        <n v="0.077148"/>
        <n v="0.035156"/>
        <n v="0.043945"/>
        <n v="0.152344"/>
        <n v="0.09082"/>
        <n v="0.984375"/>
        <n v="0.050781"/>
        <n v="0.040039"/>
        <n v="0.051758"/>
        <n v="0.15625"/>
        <n v="0.114258"/>
        <n v="0.992188"/>
        <n v="0.02832"/>
        <n v="0.220703"/>
        <n v="0.103516"/>
        <n v="0.071289"/>
        <n v="0.953125"/>
        <n v="0.024414"/>
        <n v="0.493164"/>
        <n v="0.25"/>
        <n v="0.113281"/>
        <n v="0.128906"/>
        <n v="0.994141"/>
        <n v="0.762695"/>
        <n v="0.136719"/>
        <n v="0.191406"/>
        <n v="0.081055"/>
      </sharedItems>
    </cacheField>
    <cacheField name="Perdida k=5" numFmtId="0">
      <sharedItems containsSemiMixedTypes="0" containsString="0" containsNumber="1">
        <n v="1.917969"/>
        <n v="0.049805"/>
        <n v="0.035156"/>
        <n v="0.070312"/>
        <n v="0.158203"/>
        <n v="0.12793"/>
        <n v="0.05957"/>
        <n v="0.071289"/>
        <n v="0.261719"/>
        <n v="0.165039"/>
        <n v="1.464844"/>
        <n v="0.057617"/>
        <n v="0.28125"/>
        <n v="0.162109"/>
        <n v="0.151367"/>
        <n v="0.06543"/>
        <n v="0.558594"/>
        <n v="0.269531"/>
        <n v="0.188477"/>
        <n v="0.066406"/>
        <n v="2.003906"/>
        <n v="0.530273"/>
        <n v="0.043945"/>
        <n v="0.287109"/>
        <n v="0.333984"/>
        <n v="0.177734"/>
        <n v="0.114258"/>
        <n v="1.203125"/>
        <n v="0.645508"/>
        <n v="0.277344"/>
        <n v="0.140625"/>
        <n v="0.179688"/>
        <n v="0.061523"/>
        <n v="1.942383"/>
        <n v="1.024414"/>
        <n v="0.280273"/>
        <n v="0.148438"/>
        <n v="0.212891"/>
        <n v="0.117188"/>
        <n v="0.092773"/>
      </sharedItems>
    </cacheField>
    <cacheField name="Tiempo_segundos k=2" numFmtId="0">
      <sharedItems containsSemiMixedTypes="0" containsString="0" containsNumber="1">
        <n v="1.5361"/>
        <n v="0.7382"/>
        <n v="0.6779"/>
        <n v="0.3059"/>
        <n v="0.2202"/>
        <n v="0.0399"/>
        <n v="0.051"/>
        <n v="1.5776"/>
        <n v="0.9293"/>
        <n v="0.634"/>
        <n v="0.3313"/>
        <n v="0.2098"/>
        <n v="0.0333"/>
        <n v="0.0351"/>
        <n v="1.4658"/>
        <n v="0.6163"/>
        <n v="0.749"/>
        <n v="0.2823"/>
        <n v="0.1342"/>
        <n v="0.0338"/>
        <n v="0.0337"/>
        <n v="1.1967"/>
        <n v="2.2087"/>
        <n v="1.9686"/>
        <n v="0.9124"/>
        <n v="0.5049"/>
        <n v="0.1467"/>
        <n v="0.1395"/>
        <n v="4.2864"/>
        <n v="1.6023"/>
        <n v="1.7952"/>
        <n v="0.8122"/>
        <n v="0.4556"/>
        <n v="0.0891"/>
        <n v="0.1232"/>
        <n v="3.3971"/>
        <n v="1.5088"/>
        <n v="1.2521"/>
        <n v="0.6095"/>
        <n v="0.3012"/>
        <n v="0.086"/>
        <n v="0.0731"/>
        <n v="3.3197"/>
        <n v="1.365"/>
        <n v="1.2783"/>
        <n v="0.7042"/>
        <n v="0.277"/>
        <n v="0.0711"/>
        <n v="0.0804"/>
      </sharedItems>
    </cacheField>
    <cacheField name="Tiempo_segundos k=3" numFmtId="0">
      <sharedItems containsSemiMixedTypes="0" containsString="0" containsNumber="1">
        <n v="2.0904"/>
        <n v="0.9255"/>
        <n v="1.0507"/>
        <n v="0.356"/>
        <n v="0.2468"/>
        <n v="0.0527"/>
        <n v="0.0395"/>
        <n v="2.202"/>
        <n v="1.082"/>
        <n v="0.8582"/>
        <n v="0.3762"/>
        <n v="0.2229"/>
        <n v="0.0285"/>
        <n v="1.979"/>
        <n v="0.8057"/>
        <n v="0.8609"/>
        <n v="0.3267"/>
        <n v="0.143"/>
        <n v="0.0531"/>
        <n v="0.0355"/>
        <n v="1.9723"/>
        <n v="2.6288"/>
        <n v="2.726"/>
        <n v="1.0904"/>
        <n v="0.5195"/>
        <n v="0.1655"/>
        <n v="0.1181"/>
        <n v="5.7703"/>
        <n v="2.317"/>
        <n v="2.2829"/>
        <n v="1.0165"/>
        <n v="0.4245"/>
        <n v="0.098"/>
        <n v="0.0954"/>
        <n v="4.2559"/>
        <n v="1.7572"/>
        <n v="1.7022"/>
        <n v="0.7855"/>
        <n v="0.3282"/>
        <n v="0.0765"/>
        <n v="0.0759"/>
        <n v="4.245"/>
        <n v="1.6155"/>
        <n v="1.667"/>
        <n v="0.6771"/>
        <n v="0.3382"/>
        <n v="0.0637"/>
        <n v="0.0878"/>
      </sharedItems>
    </cacheField>
    <cacheField name="Tiempo_segundos k=4" numFmtId="0">
      <sharedItems containsSemiMixedTypes="0" containsString="0" containsNumber="1">
        <n v="4.8415"/>
        <n v="1.6895"/>
        <n v="1.6948"/>
        <n v="0.5671"/>
        <n v="0.2279"/>
        <n v="0.0414"/>
        <n v="0.0723"/>
        <n v="5.6584"/>
        <n v="1.8993"/>
        <n v="1.4871"/>
        <n v="0.5741"/>
        <n v="0.2633"/>
        <n v="0.0316"/>
        <n v="0.0527"/>
        <n v="4.6532"/>
        <n v="1.3203"/>
        <n v="1.3359"/>
        <n v="0.5041"/>
        <n v="0.1764"/>
        <n v="0.0365"/>
        <n v="3.7667"/>
        <n v="4.293"/>
        <n v="4.2989"/>
        <n v="1.5116"/>
        <n v="0.7135"/>
        <n v="0.1498"/>
        <n v="0.125"/>
        <n v="12.1024"/>
        <n v="4.0911"/>
        <n v="3.9839"/>
        <n v="1.3881"/>
        <n v="0.4815"/>
        <n v="0.1031"/>
        <n v="0.1347"/>
        <n v="10.875"/>
        <n v="2.8621"/>
        <n v="2.9708"/>
        <n v="1.0005"/>
        <n v="0.4366"/>
        <n v="0.0933"/>
        <n v="0.0836"/>
        <n v="9.4492"/>
        <n v="2.9227"/>
        <n v="2.7729"/>
        <n v="1.0494"/>
        <n v="0.4109"/>
        <n v="0.0764"/>
        <n v="0.093"/>
      </sharedItems>
    </cacheField>
    <cacheField name="Tiempo_segundos k=5" numFmtId="0">
      <sharedItems containsSemiMixedTypes="0" containsString="0" containsNumber="1">
        <n v="7.9711"/>
        <n v="2.3119"/>
        <n v="2.3142"/>
        <n v="0.7631"/>
        <n v="0.2534"/>
        <n v="0.0574"/>
        <n v="0.1001"/>
        <n v="7.7408"/>
        <n v="2.1902"/>
        <n v="2.2531"/>
        <n v="0.7777"/>
        <n v="0.1985"/>
        <n v="0.059"/>
        <n v="0.0578"/>
        <n v="5.7658"/>
        <n v="2.0057"/>
        <n v="1.9081"/>
        <n v="0.5102"/>
        <n v="0.22"/>
        <n v="0.0461"/>
        <n v="0.037"/>
        <n v="13.9124"/>
        <n v="6.4775"/>
        <n v="6.2817"/>
        <n v="1.8664"/>
        <n v="0.6802"/>
        <n v="0.3005"/>
        <n v="0.1255"/>
        <n v="14.6625"/>
        <n v="5.7211"/>
        <n v="5.6817"/>
        <n v="1.7863"/>
        <n v="0.6904"/>
        <n v="0.1138"/>
        <n v="0.1279"/>
        <n v="11.3214"/>
        <n v="4.2427"/>
        <n v="4.2892"/>
        <n v="1.3047"/>
        <n v="0.5018"/>
        <n v="0.0852"/>
        <n v="0.0956"/>
        <n v="10.5346"/>
        <n v="4.5339"/>
        <n v="4.4196"/>
        <n v="1.2697"/>
        <n v="0.3967"/>
        <n v="0.0763"/>
        <n v="0.1062"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N54:Y104" sheet="Graficos"/>
  </cacheSource>
  <cacheFields>
    <cacheField name="Prueba Geomip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</sharedItems>
    </cacheField>
    <cacheField name="Alcance" numFmtId="0">
      <sharedItems>
        <s v="ABCDEFGHIJKLMNO"/>
        <s v="ABCDEFGHIJKLMN"/>
        <s v="BCDEFGHIJKLMNO"/>
        <s v="BCDEFGHIJKLMN"/>
        <s v="ABDEGHJKMN"/>
        <s v="ACEGIKMO"/>
        <s v="BDFHJLN"/>
        <s v="BCDEFGJKLMNO"/>
      </sharedItems>
    </cacheField>
    <cacheField name="Mecanismo" numFmtId="0">
      <sharedItems>
        <s v="ABCDEFGHIJKLMNO"/>
        <s v="ABCDEFGHIJKLMN"/>
        <s v="BCDEFGHIJKLMNO"/>
        <s v="BCDEFGHIJKLMN"/>
        <s v="ABDEGHJKMN"/>
        <s v="ACEGIKMO"/>
        <s v="BDFHJLN"/>
      </sharedItems>
    </cacheField>
    <cacheField name="tamaño" numFmtId="0">
      <sharedItems containsSemiMixedTypes="0" containsString="0" containsNumber="1" containsInteger="1">
        <n v="30.0"/>
        <n v="29.0"/>
        <n v="28.0"/>
        <n v="25.0"/>
        <n v="23.0"/>
        <n v="22.0"/>
        <n v="27.0"/>
        <n v="24.0"/>
        <n v="21.0"/>
        <n v="26.0"/>
        <n v="20.0"/>
        <n v="18.0"/>
        <n v="17.0"/>
        <n v="16.0"/>
        <n v="15.0"/>
        <n v="14.0"/>
      </sharedItems>
    </cacheField>
    <cacheField name="Perdida k=2" numFmtId="49">
      <sharedItems containsSemiMixedTypes="0" containsString="0" containsNumber="1">
        <n v="0.071169"/>
        <n v="0.0806"/>
        <n v="0.066363"/>
        <n v="0.0"/>
        <n v="7.61E-4"/>
        <n v="1.0E-4"/>
        <n v="2.01E-4"/>
        <n v="0.073146"/>
        <n v="0.073986"/>
        <n v="0.062149"/>
        <n v="0.072627"/>
        <n v="0.065417"/>
        <n v="0.073202"/>
        <n v="0.060235"/>
        <n v="0.071084"/>
        <n v="0.061487"/>
        <n v="0.068059"/>
        <n v="0.065485"/>
        <n v="0.066749"/>
        <n v="0.05275"/>
        <n v="0.055247"/>
        <n v="0.045235"/>
        <n v="0.051505"/>
        <n v="2.76E-4"/>
        <n v="0.037038"/>
        <n v="0.045256"/>
        <n v="0.0434"/>
        <n v="0.040376"/>
        <n v="0.001511"/>
        <n v="3.36E-4"/>
        <n v="6.17E-4"/>
        <n v="0.034583"/>
        <n v="0.038229"/>
        <n v="0.033812"/>
        <n v="0.035185"/>
        <n v="0.052068"/>
      </sharedItems>
    </cacheField>
    <cacheField name="Perdida k=3" numFmtId="49">
      <sharedItems containsSemiMixedTypes="0" containsString="0" containsNumber="1">
        <n v="0.0"/>
        <n v="0.001555"/>
        <n v="4.36E-4"/>
        <n v="4.77E-4"/>
        <n v="8.93E-4"/>
        <n v="0.002078"/>
        <n v="6.76E-4"/>
        <n v="0.001568"/>
        <n v="4.01E-4"/>
      </sharedItems>
    </cacheField>
    <cacheField name="Perdida k=4" numFmtId="49">
      <sharedItems containsSemiMixedTypes="0" containsString="0" containsNumber="1">
        <n v="0.008518"/>
        <n v="0.0"/>
        <n v="0.003906"/>
        <n v="0.003028"/>
        <n v="7.75E-4"/>
        <n v="0.001082"/>
        <n v="8.45E-4"/>
        <n v="0.003394"/>
        <n v="0.001671"/>
        <n v="0.002078"/>
        <n v="0.001235"/>
        <n v="0.002327"/>
        <n v="0.00281"/>
        <n v="3.76E-4"/>
      </sharedItems>
    </cacheField>
    <cacheField name="Perdida k=5" numFmtId="49">
      <sharedItems containsSemiMixedTypes="0" containsString="0" containsNumber="1">
        <n v="0.004263"/>
        <n v="0.0"/>
        <n v="0.004231"/>
        <n v="0.01649"/>
        <n v="0.001184"/>
        <n v="0.001699"/>
        <n v="0.003366"/>
        <n v="0.010463"/>
        <n v="0.001373"/>
        <n v="0.001563"/>
        <n v="0.009332"/>
        <n v="0.004015"/>
        <n v="0.006976"/>
        <n v="9.77E-4"/>
        <n v="0.005827"/>
        <n v="0.001414"/>
        <n v="0.002477"/>
        <n v="0.003174"/>
        <n v="0.00166"/>
        <n v="0.003082"/>
        <n v="6.51E-4"/>
        <n v="0.00357"/>
        <n v="3.85E-4"/>
      </sharedItems>
    </cacheField>
    <cacheField name="Tiempo_segundos k=2" numFmtId="49">
      <sharedItems containsSemiMixedTypes="0" containsString="0" containsNumber="1">
        <n v="30.0536"/>
        <n v="30.0702"/>
        <n v="30.0448"/>
        <n v="29.2885"/>
        <n v="2.3969"/>
        <n v="2.4167"/>
        <n v="1.1813"/>
        <n v="30.0111"/>
        <n v="30.0413"/>
        <n v="30.0656"/>
        <n v="30.0569"/>
        <n v="7.8791"/>
        <n v="1.8078"/>
        <n v="0.9033"/>
        <n v="30.0091"/>
        <n v="30.0674"/>
        <n v="30.0666"/>
        <n v="30.0729"/>
        <n v="7.6789"/>
        <n v="1.67"/>
        <n v="0.9274"/>
        <n v="30.0302"/>
        <n v="30.0659"/>
        <n v="30.0419"/>
        <n v="5.7589"/>
        <n v="1.9705"/>
        <n v="0.9119"/>
        <n v="30.0509"/>
        <n v="30.0425"/>
        <n v="30.023"/>
        <n v="5.8032"/>
        <n v="1.2968"/>
        <n v="0.7718"/>
        <n v="30.0214"/>
        <n v="30.0332"/>
        <n v="30.0247"/>
        <n v="30.0552"/>
        <n v="1.6337"/>
        <n v="0.2559"/>
        <n v="0.1301"/>
        <n v="30.0116"/>
        <n v="30.0265"/>
        <n v="30.0266"/>
        <n v="30.0276"/>
        <n v="4.2275"/>
        <n v="0.8446"/>
        <n v="0.4608"/>
        <n v="30.0245"/>
      </sharedItems>
    </cacheField>
    <cacheField name="Tiempo_segundos k=3" numFmtId="4">
      <sharedItems containsSemiMixedTypes="0" containsString="0" containsNumber="1">
        <n v="22.4467"/>
        <n v="11.2993"/>
        <n v="10.2293"/>
        <n v="1.9986"/>
        <n v="3.1791"/>
        <n v="2.821"/>
        <n v="1.323"/>
        <n v="19.6749"/>
        <n v="3.221"/>
        <n v="10.5549"/>
        <n v="5.828"/>
        <n v="10.6022"/>
        <n v="1.9866"/>
        <n v="0.8622"/>
        <n v="6.3896"/>
        <n v="11.9796"/>
        <n v="10.6329"/>
        <n v="6.078"/>
        <n v="10.2119"/>
        <n v="2.0723"/>
        <n v="0.879"/>
        <n v="21.3896"/>
        <n v="9.6819"/>
        <n v="9.5221"/>
        <n v="6.6054"/>
        <n v="3.5439"/>
        <n v="2.0603"/>
        <n v="0.8702"/>
        <n v="16.1645"/>
        <n v="8.1879"/>
        <n v="5.4082"/>
        <n v="4.8313"/>
        <n v="6.5833"/>
        <n v="1.5768"/>
        <n v="0.8263"/>
        <n v="13.7537"/>
        <n v="8.1529"/>
        <n v="7.2437"/>
        <n v="4.3971"/>
        <n v="1.8577"/>
        <n v="0.3147"/>
        <n v="0.1285"/>
        <n v="14.2088"/>
        <n v="6.4255"/>
        <n v="6.3267"/>
        <n v="3.909"/>
        <n v="6.0268"/>
        <n v="1.0406"/>
        <n v="0.4273"/>
        <n v="8.0644"/>
      </sharedItems>
    </cacheField>
    <cacheField name="Tiempo_segundos k=4" numFmtId="4">
      <sharedItems containsSemiMixedTypes="0" containsString="0" containsNumber="1">
        <n v="30.5297"/>
        <n v="17.7084"/>
        <n v="16.6209"/>
        <n v="3.3655"/>
        <n v="17.0673"/>
        <n v="3.316"/>
        <n v="1.4854"/>
        <n v="31.0002"/>
        <n v="3.5441"/>
        <n v="16.3117"/>
        <n v="9.2732"/>
        <n v="22.6167"/>
        <n v="2.4655"/>
        <n v="1.0609"/>
        <n v="12.6413"/>
        <n v="13.2469"/>
        <n v="15.3639"/>
        <n v="8.1607"/>
        <n v="22.4894"/>
        <n v="2.5582"/>
        <n v="1.1063"/>
        <n v="28.006"/>
        <n v="14.985"/>
        <n v="12.973"/>
        <n v="8.218"/>
        <n v="17.4422"/>
        <n v="2.7395"/>
        <n v="1.1455"/>
        <n v="28.8158"/>
        <n v="10.3397"/>
        <n v="3.8915"/>
        <n v="6.2967"/>
        <n v="16.1302"/>
        <n v="2.4305"/>
        <n v="0.8628"/>
        <n v="19.9302"/>
        <n v="9.9082"/>
        <n v="9.1774"/>
        <n v="5.5363"/>
        <n v="3.7237"/>
        <n v="0.4907"/>
        <n v="0.2028"/>
        <n v="17.4726"/>
        <n v="9.0524"/>
        <n v="8.2765"/>
        <n v="4.9631"/>
        <n v="12.5472"/>
        <n v="1.3123"/>
        <n v="0.5022"/>
        <n v="6.137"/>
      </sharedItems>
    </cacheField>
    <cacheField name="Tiempo_segundos k=5" numFmtId="4">
      <sharedItems containsSemiMixedTypes="0" containsString="0" containsNumber="1">
        <n v="31.1088"/>
        <n v="23.0212"/>
        <n v="5.8181"/>
        <n v="5.1702"/>
        <n v="30.1593"/>
        <n v="4.289"/>
        <n v="1.8955"/>
        <n v="29.6657"/>
        <n v="12.3159"/>
        <n v="19.9534"/>
        <n v="12.8843"/>
        <n v="30.1592"/>
        <n v="3.166"/>
        <n v="1.3456"/>
        <n v="11.1482"/>
        <n v="21.6287"/>
        <n v="20.7086"/>
        <n v="16.9804"/>
        <n v="30.1106"/>
        <n v="3.5834"/>
        <n v="1.2936"/>
        <n v="30.2631"/>
        <n v="19.1958"/>
        <n v="18.3589"/>
        <n v="13.1419"/>
        <n v="31.5764"/>
        <n v="3.3712"/>
        <n v="1.345"/>
        <n v="30.0326"/>
        <n v="17.601"/>
        <n v="10.3802"/>
        <n v="9.8968"/>
        <n v="20.9845"/>
        <n v="2.9463"/>
        <n v="0.9458"/>
        <n v="23.8291"/>
        <n v="13.526"/>
        <n v="13.7865"/>
        <n v="9.9371"/>
        <n v="5.5054"/>
        <n v="0.5139"/>
        <n v="0.2614"/>
        <n v="20.8863"/>
        <n v="12.5325"/>
        <n v="12.6819"/>
        <n v="7.3467"/>
        <n v="15.0135"/>
        <n v="1.6512"/>
        <n v="0.6572"/>
        <n v="8.3983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GA2P15B" cacheId="0" dataCaption="" compact="0" compactData="0">
  <location ref="A1:E18" firstHeaderRow="0" firstDataRow="2" firstDataCol="0"/>
  <pivotFields>
    <pivotField name="Prueba qnod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Alc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Mecanism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amaño" axis="axisRow" compact="0" outline="0" multipleItemSelectionAllowed="1" showAll="0" sortType="ascending">
      <items>
        <item x="15"/>
        <item x="14"/>
        <item x="13"/>
        <item x="12"/>
        <item x="11"/>
        <item x="10"/>
        <item x="8"/>
        <item x="5"/>
        <item x="4"/>
        <item x="7"/>
        <item x="3"/>
        <item x="9"/>
        <item x="6"/>
        <item x="2"/>
        <item x="1"/>
        <item x="0"/>
        <item t="default"/>
      </items>
    </pivotField>
    <pivotField name="Perdida k=2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Perdida k=3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Perdida k=4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erdida k=5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Tiempo_segundos k=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Tiempo_segundos k=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Tiempo_segundos k=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Tiempo_segundos k=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</pivotFields>
  <rowFields>
    <field x="3"/>
  </rowFields>
  <colFields>
    <field x="-2"/>
  </colFields>
  <dataFields>
    <dataField name="AVERAGE of Perdida k=2" fld="4" subtotal="average" baseField="0"/>
    <dataField name="AVERAGE of Perdida k=3" fld="5" subtotal="average" baseField="0"/>
    <dataField name="AVERAGE of Perdida k=4" fld="6" subtotal="average" baseField="0"/>
    <dataField name="AVERAGE of Perdida k=5" fld="7" subtotal="average" baseField="0"/>
  </dataFields>
</pivotTableDefinition>
</file>

<file path=xl/pivotTables/pivotTable2.xml><?xml version="1.0" encoding="utf-8"?>
<pivotTableDefinition xmlns="http://schemas.openxmlformats.org/spreadsheetml/2006/main" name="G1.a.1 15B" cacheId="0" dataCaption="" compact="0" compactData="0">
  <location ref="A1:E18" firstHeaderRow="0" firstDataRow="2" firstDataCol="0"/>
  <pivotFields>
    <pivotField name="Prueba qnod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Alc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Mecanism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amaño" axis="axisRow" compact="0" outline="0" multipleItemSelectionAllowed="1" showAll="0" sortType="ascending">
      <items>
        <item x="15"/>
        <item x="14"/>
        <item x="13"/>
        <item x="12"/>
        <item x="11"/>
        <item x="10"/>
        <item x="8"/>
        <item x="5"/>
        <item x="4"/>
        <item x="7"/>
        <item x="3"/>
        <item x="9"/>
        <item x="6"/>
        <item x="2"/>
        <item x="1"/>
        <item x="0"/>
        <item t="default"/>
      </items>
    </pivotField>
    <pivotField name="Perdida k=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Perdida k=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Perdida k=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erdida k=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Tiempo_segundos k=2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Tiempo_segundos k=3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Tiempo_segundos k=4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Tiempo_segundos k=5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</pivotFields>
  <rowFields>
    <field x="3"/>
  </rowFields>
  <colFields>
    <field x="-2"/>
  </colFields>
  <dataFields>
    <dataField name="AVERAGE of Tiempo_segundos k=2" fld="8" subtotal="average" baseField="0"/>
    <dataField name="AVERAGE of Tiempo_segundos k=3" fld="9" subtotal="average" baseField="0"/>
    <dataField name="AVERAGE of Tiempo_segundos k=4" fld="10" subtotal="average" baseField="0"/>
    <dataField name="AVERAGE of Tiempo_segundos k=5" fld="11" subtotal="average" baseField="0"/>
  </dataFields>
</pivotTableDefinition>
</file>

<file path=xl/pivotTables/pivotTable3.xml><?xml version="1.0" encoding="utf-8"?>
<pivotTableDefinition xmlns="http://schemas.openxmlformats.org/spreadsheetml/2006/main" name="GA1P10A" cacheId="1" dataCaption="" compact="0" compactData="0">
  <location ref="A1:E12" firstHeaderRow="0" firstDataRow="2" firstDataCol="0"/>
  <pivotFields>
    <pivotField name="Prueba qnod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Alcanc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Mecanism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amaño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erdida k=2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erdida k=3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Perdida k=4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Perdida k=5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</pivotFields>
  <rowFields>
    <field x="3"/>
  </rowFields>
  <colFields>
    <field x="-2"/>
  </colFields>
  <dataFields>
    <dataField name="AVERAGE of Perdida k=2" fld="4" subtotal="average" baseField="0"/>
    <dataField name="AVERAGE of Perdida k=3" fld="5" subtotal="average" baseField="0"/>
    <dataField name="AVERAGE of Perdida k=4" fld="6" subtotal="average" baseField="0"/>
    <dataField name="AVERAGE of Perdida k=5" fld="7" subtotal="average" baseField="0"/>
  </dataFields>
</pivotTableDefinition>
</file>

<file path=xl/pivotTables/pivotTable4.xml><?xml version="1.0" encoding="utf-8"?>
<pivotTableDefinition xmlns="http://schemas.openxmlformats.org/spreadsheetml/2006/main" name="G1.a.1 10A" cacheId="2" dataCaption="" compact="0" compactData="0">
  <location ref="A1:E12" firstHeaderRow="0" firstDataRow="2" firstDataCol="0"/>
  <pivotFields>
    <pivotField name="Prueba qnod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Alcanc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Mecanism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amaño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erdida k=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erdida k=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Perdida k=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Perdida k=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Tiempo_segundos k=2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Tiempo_segundos k=3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Tiempo_segundos k=4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Tiempo_segundos k=5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</pivotFields>
  <rowFields>
    <field x="3"/>
  </rowFields>
  <colFields>
    <field x="-2"/>
  </colFields>
  <dataFields>
    <dataField name="AVERAGE of Tiempo_segundos k=2" fld="8" subtotal="average" baseField="0"/>
    <dataField name="AVERAGE of Tiempo_segundos k=3" fld="9" subtotal="average" baseField="0"/>
    <dataField name="AVERAGE of Tiempo_segundos k=4" fld="10" subtotal="average" baseField="0"/>
    <dataField name="AVERAGE of Tiempo_segundos k=5" fld="11" subtotal="average" baseField="0"/>
  </dataFields>
</pivotTableDefinition>
</file>

<file path=xl/pivotTables/pivotTable5.xml><?xml version="1.0" encoding="utf-8"?>
<pivotTableDefinition xmlns="http://schemas.openxmlformats.org/spreadsheetml/2006/main" name="G1.a.1 10A geomip" cacheId="3" dataCaption="" compact="0" compactData="0">
  <location ref="A1:E12" firstHeaderRow="0" firstDataRow="2" firstDataCol="0"/>
  <pivotFields>
    <pivotField name="Prueba Geomi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Alcanc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Mecanism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amaño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erdida k=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Perdida k=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Perdida k=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Perdida k=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Tiempo_segundos k=2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Tiempo_segundos k=3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Tiempo_segundos k=4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Tiempo_segundos k=5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</pivotFields>
  <rowFields>
    <field x="3"/>
  </rowFields>
  <colFields>
    <field x="-2"/>
  </colFields>
  <dataFields>
    <dataField name="AVERAGE of Tiempo_segundos k=2" fld="8" subtotal="average" baseField="0"/>
    <dataField name="AVERAGE of Tiempo_segundos k=3" fld="9" subtotal="average" baseField="0"/>
    <dataField name="AVERAGE of Tiempo_segundos k=4" fld="10" subtotal="average" baseField="0"/>
    <dataField name="AVERAGE of Tiempo_segundos k=5" fld="11" subtotal="average" baseField="0"/>
  </dataFields>
</pivotTableDefinition>
</file>

<file path=xl/pivotTables/pivotTable6.xml><?xml version="1.0" encoding="utf-8"?>
<pivotTableDefinition xmlns="http://schemas.openxmlformats.org/spreadsheetml/2006/main" name="G1.a.2 10A geomip" cacheId="3" dataCaption="" compact="0" compactData="0">
  <location ref="A1:E12" firstHeaderRow="0" firstDataRow="2" firstDataCol="0"/>
  <pivotFields>
    <pivotField name="Prueba Geomi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Alcanc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Mecanism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amaño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erdida k=2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Perdida k=3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Perdida k=4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Perdida k=5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Tiempo_segundos k=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Tiempo_segundos k=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Tiempo_segundos k=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Tiempo_segundos k=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</pivotFields>
  <rowFields>
    <field x="3"/>
  </rowFields>
  <colFields>
    <field x="-2"/>
  </colFields>
  <dataFields>
    <dataField name="AVERAGE of Perdida k=2" fld="4" subtotal="average" baseField="0"/>
    <dataField name="AVERAGE of Perdida k=3" fld="5" subtotal="average" baseField="0"/>
    <dataField name="AVERAGE of Perdida k=4" fld="6" subtotal="average" baseField="0"/>
    <dataField name="AVERAGE of Perdida k=5" fld="7" subtotal="average" baseField="0"/>
  </dataFields>
</pivotTableDefinition>
</file>

<file path=xl/pivotTables/pivotTable7.xml><?xml version="1.0" encoding="utf-8"?>
<pivotTableDefinition xmlns="http://schemas.openxmlformats.org/spreadsheetml/2006/main" name="G1.a.1 15B geomip" cacheId="4" dataCaption="" compact="0" compactData="0">
  <location ref="A1:E18" firstHeaderRow="0" firstDataRow="2" firstDataCol="0"/>
  <pivotFields>
    <pivotField name="Prueba Geomi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Alc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Mecanism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amaño" axis="axisRow" compact="0" outline="0" multipleItemSelectionAllowed="1" showAll="0" sortType="ascending">
      <items>
        <item x="15"/>
        <item x="14"/>
        <item x="13"/>
        <item x="12"/>
        <item x="11"/>
        <item x="10"/>
        <item x="8"/>
        <item x="5"/>
        <item x="4"/>
        <item x="7"/>
        <item x="3"/>
        <item x="9"/>
        <item x="6"/>
        <item x="2"/>
        <item x="1"/>
        <item x="0"/>
        <item t="default"/>
      </items>
    </pivotField>
    <pivotField name="Perdida k=2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Perdida k=3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Perdida k=4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Perdida k=5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Tiempo_segundos k=2" dataField="1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Tiempo_segundos k=3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Tiempo_segundos k=4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Tiempo_segundos k=5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</pivotFields>
  <rowFields>
    <field x="3"/>
  </rowFields>
  <colFields>
    <field x="-2"/>
  </colFields>
  <dataFields>
    <dataField name="AVERAGE of Tiempo_segundos k=2" fld="8" subtotal="average" baseField="0"/>
    <dataField name="AVERAGE of Tiempo_segundos k=3" fld="9" subtotal="average" baseField="0"/>
    <dataField name="AVERAGE of Tiempo_segundos k=4" fld="10" subtotal="average" baseField="0"/>
    <dataField name="AVERAGE of Tiempo_segundos k=5" fld="11" subtotal="average" baseField="0"/>
  </dataFields>
</pivotTableDefinition>
</file>

<file path=xl/pivotTables/pivotTable8.xml><?xml version="1.0" encoding="utf-8"?>
<pivotTableDefinition xmlns="http://schemas.openxmlformats.org/spreadsheetml/2006/main" name="G1.a.2 15B geomip" cacheId="4" dataCaption="" compact="0" compactData="0">
  <location ref="A1:E18" firstHeaderRow="0" firstDataRow="2" firstDataCol="0"/>
  <pivotFields>
    <pivotField name="Prueba Geomi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Alc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Mecanism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amaño" axis="axisRow" compact="0" outline="0" multipleItemSelectionAllowed="1" showAll="0" sortType="ascending">
      <items>
        <item x="15"/>
        <item x="14"/>
        <item x="13"/>
        <item x="12"/>
        <item x="11"/>
        <item x="10"/>
        <item x="8"/>
        <item x="5"/>
        <item x="4"/>
        <item x="7"/>
        <item x="3"/>
        <item x="9"/>
        <item x="6"/>
        <item x="2"/>
        <item x="1"/>
        <item x="0"/>
        <item t="default"/>
      </items>
    </pivotField>
    <pivotField name="Perdida k=2" dataField="1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Perdida k=3" dataField="1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Perdida k=4" dataField="1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Perdida k=5" dataField="1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Tiempo_segundos k=2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Tiempo_segundos k=3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Tiempo_segundos k=4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Tiempo_segundos k=5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</pivotFields>
  <rowFields>
    <field x="3"/>
  </rowFields>
  <colFields>
    <field x="-2"/>
  </colFields>
  <dataFields>
    <dataField name="AVERAGE of Perdida k=2" fld="4" subtotal="average" baseField="0"/>
    <dataField name="AVERAGE of Perdida k=3" fld="5" subtotal="average" baseField="0"/>
    <dataField name="AVERAGE of Perdida k=4" fld="6" subtotal="average" baseField="0"/>
    <dataField name="AVERAGE of Perdida k=5" fld="7" subtotal="average" baseField="0"/>
  </dataFields>
</pivotTableDefinition>
</file>

<file path=xl/tables/table1.xml><?xml version="1.0" encoding="utf-8"?>
<table xmlns="http://schemas.openxmlformats.org/spreadsheetml/2006/main" ref="A1:I5" displayName="Table_1" name="Table_1" id="1">
  <tableColumns count="9">
    <tableColumn name="Prueba" id="1"/>
    <tableColumn name="Alcance" id="2"/>
    <tableColumn name="Mecanismo" id="3"/>
    <tableColumn name="tamaño" id="4"/>
    <tableColumn name="k" id="5"/>
    <tableColumn name="Perdida k=2" id="6"/>
    <tableColumn name="Perdida k=3" id="7"/>
    <tableColumn name="Perdida k=4" id="8"/>
    <tableColumn name="Perdida k=5" id="9"/>
  </tableColumns>
  <tableStyleInfo name="Datos2-10-style" showColumnStripes="0" showFirstColumn="1" showLastColumn="1" showRowStripes="1"/>
</table>
</file>

<file path=xl/tables/table2.xml><?xml version="1.0" encoding="utf-8"?>
<table xmlns="http://schemas.openxmlformats.org/spreadsheetml/2006/main" ref="A1:J50" displayName="Table_2" name="Table_2" id="2">
  <tableColumns count="10">
    <tableColumn name="Prueba" id="1"/>
    <tableColumn name="Alcance" id="2"/>
    <tableColumn name="Mecanismo" id="3"/>
    <tableColumn name="tamaño" id="4"/>
    <tableColumn name="k" id="5"/>
    <tableColumn name="Perdida" id="6"/>
    <tableColumn name="Tiempo_segundos k=2" id="7"/>
    <tableColumn name="Tiempo_segundos k=3" id="8"/>
    <tableColumn name="Tiempo_segundos k=4" id="9"/>
    <tableColumn name="Tiempo_segundos k=5" id="10"/>
  </tableColumns>
  <tableStyleInfo name="Datos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7.xm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8.xm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15.0"/>
    <col customWidth="1" min="3" max="3" width="15.29"/>
    <col customWidth="1" min="4" max="4" width="36.71"/>
    <col customWidth="1" min="5" max="5" width="20.86"/>
    <col customWidth="1" min="6" max="6" width="12.14"/>
    <col customWidth="1" min="7" max="7" width="17.0"/>
  </cols>
  <sheetData>
    <row r="1">
      <c r="A1" s="1" t="s">
        <v>0</v>
      </c>
      <c r="B1" s="1"/>
      <c r="C1" s="1"/>
      <c r="D1" s="2"/>
      <c r="E1" s="2"/>
      <c r="F1" s="2"/>
    </row>
    <row r="2">
      <c r="A2" s="1" t="s">
        <v>1</v>
      </c>
      <c r="B2" s="1" t="s">
        <v>2</v>
      </c>
      <c r="C2" s="1" t="s">
        <v>3</v>
      </c>
      <c r="D2" s="2"/>
      <c r="E2" s="2"/>
      <c r="F2" s="2"/>
    </row>
    <row r="3">
      <c r="A3" s="3" t="s">
        <v>4</v>
      </c>
      <c r="B3" s="3">
        <v>16.0</v>
      </c>
      <c r="C3" s="3" t="s">
        <v>5</v>
      </c>
      <c r="D3" s="2"/>
      <c r="E3" s="2"/>
      <c r="F3" s="2"/>
    </row>
    <row r="4">
      <c r="A4" s="1" t="s">
        <v>6</v>
      </c>
      <c r="B4" s="1"/>
      <c r="C4" s="3" t="s">
        <v>7</v>
      </c>
      <c r="D4" s="2"/>
      <c r="E4" s="2"/>
      <c r="F4" s="2"/>
      <c r="G4" s="2"/>
    </row>
    <row r="5">
      <c r="A5" s="4" t="s">
        <v>8</v>
      </c>
      <c r="B5" s="5"/>
      <c r="C5" s="6"/>
      <c r="D5" s="2"/>
      <c r="E5" s="2"/>
      <c r="F5" s="2"/>
      <c r="G5" s="2"/>
    </row>
    <row r="6">
      <c r="A6" s="2"/>
      <c r="B6" s="2"/>
      <c r="C6" s="2"/>
      <c r="D6" s="2"/>
      <c r="E6" s="2"/>
      <c r="F6" s="2"/>
      <c r="G6" s="2"/>
    </row>
    <row r="7">
      <c r="A7" s="2"/>
      <c r="B7" s="2"/>
      <c r="C7" s="2"/>
      <c r="D7" s="2"/>
      <c r="E7" s="2"/>
      <c r="F7" s="2"/>
      <c r="G7" s="2"/>
    </row>
    <row r="11">
      <c r="A11" s="7"/>
      <c r="C11" s="7"/>
      <c r="D11" s="8"/>
      <c r="E11" s="9"/>
      <c r="F11" s="10"/>
      <c r="G11" s="9"/>
    </row>
    <row r="12">
      <c r="C12" s="11"/>
      <c r="D12" s="11"/>
      <c r="E12" s="11"/>
      <c r="F12" s="11"/>
      <c r="G12" s="8"/>
    </row>
    <row r="13">
      <c r="A13" s="12"/>
      <c r="B13" s="9"/>
      <c r="C13" s="11"/>
      <c r="D13" s="11"/>
      <c r="E13" s="11"/>
      <c r="F13" s="11"/>
    </row>
    <row r="14">
      <c r="A14" s="12"/>
      <c r="B14" s="9"/>
      <c r="C14" s="11"/>
      <c r="D14" s="13"/>
      <c r="E14" s="11"/>
      <c r="F14" s="11"/>
      <c r="G14" s="8"/>
    </row>
    <row r="15">
      <c r="A15" s="12"/>
      <c r="B15" s="9"/>
      <c r="C15" s="11"/>
      <c r="D15" s="11"/>
      <c r="E15" s="11"/>
      <c r="F15" s="11"/>
      <c r="G15" s="8"/>
    </row>
    <row r="16">
      <c r="A16" s="12"/>
      <c r="B16" s="9"/>
      <c r="C16" s="11"/>
      <c r="D16" s="11"/>
      <c r="E16" s="11"/>
      <c r="F16" s="11"/>
      <c r="G16" s="8"/>
    </row>
    <row r="17">
      <c r="A17" s="12"/>
      <c r="B17" s="9"/>
      <c r="C17" s="11"/>
      <c r="D17" s="11"/>
      <c r="E17" s="11"/>
      <c r="F17" s="13"/>
      <c r="G17" s="8"/>
    </row>
    <row r="18">
      <c r="A18" s="12"/>
      <c r="C18" s="10"/>
      <c r="D18" s="10"/>
      <c r="E18" s="10"/>
      <c r="F18" s="10"/>
      <c r="G18" s="8"/>
    </row>
    <row r="19">
      <c r="A19" s="12"/>
      <c r="B19" s="9"/>
      <c r="C19" s="11"/>
      <c r="D19" s="11"/>
      <c r="E19" s="11"/>
      <c r="F19" s="13"/>
      <c r="G19" s="8"/>
    </row>
    <row r="20">
      <c r="A20" s="12"/>
      <c r="B20" s="9"/>
      <c r="C20" s="11"/>
      <c r="D20" s="11"/>
      <c r="E20" s="11"/>
      <c r="F20" s="13"/>
      <c r="G20" s="8"/>
    </row>
    <row r="21" ht="15.75" customHeight="1">
      <c r="A21" s="12"/>
      <c r="B21" s="9"/>
      <c r="C21" s="11"/>
      <c r="D21" s="11"/>
      <c r="E21" s="11"/>
      <c r="F21" s="13"/>
      <c r="G21" s="8"/>
    </row>
    <row r="22" ht="15.75" customHeight="1">
      <c r="A22" s="12"/>
      <c r="C22" s="10"/>
      <c r="D22" s="10"/>
      <c r="E22" s="10"/>
      <c r="F22" s="14"/>
      <c r="G22" s="8"/>
    </row>
    <row r="23" ht="15.75" customHeight="1">
      <c r="A23" s="12"/>
      <c r="C23" s="10"/>
      <c r="D23" s="10"/>
      <c r="E23" s="10"/>
      <c r="F23" s="14"/>
      <c r="G23" s="8"/>
    </row>
    <row r="24" ht="15.75" customHeight="1">
      <c r="A24" s="12"/>
      <c r="C24" s="10"/>
      <c r="D24" s="10"/>
      <c r="E24" s="10"/>
      <c r="F24" s="14"/>
      <c r="G24" s="8"/>
    </row>
    <row r="25" ht="15.75" customHeight="1">
      <c r="A25" s="12"/>
      <c r="C25" s="10"/>
      <c r="D25" s="10"/>
      <c r="E25" s="10"/>
      <c r="F25" s="14"/>
      <c r="G25" s="8"/>
    </row>
    <row r="26" ht="15.75" customHeight="1">
      <c r="A26" s="12"/>
      <c r="D26" s="10"/>
      <c r="E26" s="12"/>
      <c r="F26" s="8"/>
      <c r="G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5:B5"/>
  </mergeCells>
  <conditionalFormatting sqref="C13:F21">
    <cfRule type="cellIs" dxfId="0" priority="1" operator="equal">
      <formula>"V"</formula>
    </cfRule>
  </conditionalFormatting>
  <conditionalFormatting sqref="C13:F21">
    <cfRule type="cellIs" dxfId="1" priority="2" operator="equal">
      <formula>"H"</formula>
    </cfRule>
  </conditionalFormatting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4.43" defaultRowHeight="15.0"/>
  <cols>
    <col customWidth="1" min="1" max="1" width="7.29"/>
    <col customWidth="1" min="2" max="3" width="14.43"/>
    <col customWidth="1" min="4" max="4" width="37.29"/>
    <col customWidth="1" min="5" max="5" width="14.14"/>
    <col customWidth="1" min="6" max="6" width="17.29"/>
    <col customWidth="1" min="7" max="7" width="38.14"/>
    <col customWidth="1" min="8" max="8" width="10.43"/>
    <col customWidth="1" min="9" max="9" width="14.86"/>
    <col customWidth="1" min="10" max="10" width="47.71"/>
    <col customWidth="1" min="11" max="11" width="11.14"/>
    <col customWidth="1" min="12" max="12" width="15.71"/>
    <col customWidth="1" min="13" max="13" width="48.86"/>
    <col customWidth="1" min="14" max="14" width="16.43"/>
    <col customWidth="1" min="15" max="15" width="13.71"/>
    <col customWidth="1" min="16" max="16" width="46.86"/>
    <col customWidth="1" min="17" max="17" width="14.0"/>
    <col customWidth="1" min="18" max="18" width="18.0"/>
    <col customWidth="1" min="19" max="19" width="50.86"/>
    <col customWidth="1" min="20" max="20" width="17.29"/>
    <col customWidth="1" min="22" max="22" width="53.0"/>
    <col customWidth="1" min="23" max="23" width="10.57"/>
    <col customWidth="1" min="24" max="24" width="15.43"/>
    <col customWidth="1" min="25" max="25" width="56.14"/>
    <col customWidth="1" min="26" max="26" width="12.14"/>
    <col customWidth="1" min="27" max="27" width="12.71"/>
  </cols>
  <sheetData>
    <row r="1" ht="48.0" customHeight="1">
      <c r="A1" s="15" t="s">
        <v>9</v>
      </c>
      <c r="B1" s="16">
        <v>1.0E9</v>
      </c>
    </row>
    <row r="2" ht="32.25" customHeight="1">
      <c r="A2" s="15" t="s">
        <v>10</v>
      </c>
      <c r="B2" s="17" t="s">
        <v>11</v>
      </c>
    </row>
    <row r="3" ht="30.0" customHeight="1">
      <c r="A3" s="18" t="s">
        <v>12</v>
      </c>
      <c r="B3" s="19" t="s">
        <v>11</v>
      </c>
      <c r="D3" s="20" t="s">
        <v>13</v>
      </c>
      <c r="E3" s="21"/>
      <c r="F3" s="21"/>
      <c r="G3" s="21"/>
      <c r="H3" s="21"/>
      <c r="I3" s="5"/>
      <c r="J3" s="22" t="s">
        <v>14</v>
      </c>
      <c r="K3" s="21"/>
      <c r="L3" s="21"/>
      <c r="M3" s="21"/>
      <c r="N3" s="21"/>
      <c r="O3" s="5"/>
      <c r="P3" s="20" t="s">
        <v>15</v>
      </c>
      <c r="Q3" s="21"/>
      <c r="R3" s="21"/>
      <c r="S3" s="21"/>
      <c r="T3" s="21"/>
      <c r="U3" s="5"/>
      <c r="V3" s="23" t="s">
        <v>16</v>
      </c>
      <c r="W3" s="21"/>
      <c r="X3" s="21"/>
      <c r="Y3" s="21"/>
      <c r="Z3" s="21"/>
      <c r="AA3" s="5"/>
    </row>
    <row r="4" ht="21.75" customHeight="1">
      <c r="B4" s="24" t="s">
        <v>17</v>
      </c>
      <c r="C4" s="25"/>
      <c r="D4" s="26" t="s">
        <v>18</v>
      </c>
      <c r="E4" s="27"/>
      <c r="F4" s="28"/>
      <c r="G4" s="29" t="s">
        <v>19</v>
      </c>
      <c r="H4" s="27"/>
      <c r="I4" s="28"/>
      <c r="J4" s="26" t="s">
        <v>18</v>
      </c>
      <c r="K4" s="27"/>
      <c r="L4" s="28"/>
      <c r="M4" s="29" t="s">
        <v>19</v>
      </c>
      <c r="N4" s="27"/>
      <c r="O4" s="28"/>
      <c r="P4" s="26" t="s">
        <v>18</v>
      </c>
      <c r="Q4" s="27"/>
      <c r="R4" s="28"/>
      <c r="S4" s="29" t="s">
        <v>19</v>
      </c>
      <c r="T4" s="27"/>
      <c r="U4" s="28"/>
      <c r="V4" s="26" t="s">
        <v>18</v>
      </c>
      <c r="W4" s="27"/>
      <c r="X4" s="28"/>
      <c r="Y4" s="29" t="s">
        <v>19</v>
      </c>
      <c r="Z4" s="27"/>
      <c r="AA4" s="28"/>
    </row>
    <row r="5" ht="27.0" customHeight="1">
      <c r="A5" s="30" t="s">
        <v>20</v>
      </c>
      <c r="B5" s="31" t="s">
        <v>21</v>
      </c>
      <c r="C5" s="32" t="s">
        <v>22</v>
      </c>
      <c r="D5" s="33" t="s">
        <v>23</v>
      </c>
      <c r="E5" s="33" t="s">
        <v>24</v>
      </c>
      <c r="F5" s="34" t="s">
        <v>25</v>
      </c>
      <c r="G5" s="35" t="s">
        <v>23</v>
      </c>
      <c r="H5" s="35" t="s">
        <v>24</v>
      </c>
      <c r="I5" s="35" t="s">
        <v>26</v>
      </c>
      <c r="J5" s="33" t="s">
        <v>23</v>
      </c>
      <c r="K5" s="33" t="s">
        <v>24</v>
      </c>
      <c r="L5" s="34" t="s">
        <v>25</v>
      </c>
      <c r="M5" s="35" t="s">
        <v>23</v>
      </c>
      <c r="N5" s="35" t="s">
        <v>24</v>
      </c>
      <c r="O5" s="35" t="s">
        <v>26</v>
      </c>
      <c r="P5" s="33" t="s">
        <v>23</v>
      </c>
      <c r="Q5" s="33" t="s">
        <v>24</v>
      </c>
      <c r="R5" s="33" t="s">
        <v>26</v>
      </c>
      <c r="S5" s="35" t="s">
        <v>23</v>
      </c>
      <c r="T5" s="35" t="s">
        <v>24</v>
      </c>
      <c r="U5" s="35" t="s">
        <v>26</v>
      </c>
      <c r="V5" s="33" t="s">
        <v>23</v>
      </c>
      <c r="W5" s="33" t="s">
        <v>24</v>
      </c>
      <c r="X5" s="34" t="s">
        <v>25</v>
      </c>
      <c r="Y5" s="35" t="s">
        <v>23</v>
      </c>
      <c r="Z5" s="35" t="s">
        <v>24</v>
      </c>
      <c r="AA5" s="35" t="s">
        <v>26</v>
      </c>
    </row>
    <row r="6">
      <c r="A6" s="36">
        <f t="shared" ref="A6:A54" si="1">ROW(A1)</f>
        <v>1</v>
      </c>
      <c r="B6" s="17" t="s">
        <v>11</v>
      </c>
      <c r="C6" s="17" t="s">
        <v>11</v>
      </c>
      <c r="D6" s="37" t="s">
        <v>27</v>
      </c>
      <c r="E6" s="38">
        <v>0.4805</v>
      </c>
      <c r="F6" s="39">
        <v>0.9596</v>
      </c>
      <c r="G6" s="40" t="s">
        <v>28</v>
      </c>
      <c r="H6" s="41">
        <v>0.472656</v>
      </c>
      <c r="I6" s="41">
        <v>1.5361</v>
      </c>
      <c r="J6" s="37" t="s">
        <v>29</v>
      </c>
      <c r="K6" s="38">
        <v>1.0273</v>
      </c>
      <c r="L6" s="39">
        <v>1.1154</v>
      </c>
      <c r="M6" s="40" t="s">
        <v>30</v>
      </c>
      <c r="N6" s="41">
        <v>0.953125</v>
      </c>
      <c r="O6" s="41">
        <v>2.0904</v>
      </c>
      <c r="P6" s="37" t="s">
        <v>31</v>
      </c>
      <c r="Q6" s="38">
        <v>3.3828</v>
      </c>
      <c r="R6" s="39">
        <v>0.6364</v>
      </c>
      <c r="S6" s="40" t="s">
        <v>32</v>
      </c>
      <c r="T6" s="41">
        <v>1.433594</v>
      </c>
      <c r="U6" s="41">
        <v>4.8415</v>
      </c>
      <c r="V6" s="37" t="s">
        <v>33</v>
      </c>
      <c r="W6" s="38">
        <v>4.3984</v>
      </c>
      <c r="X6" s="39">
        <v>0.6302</v>
      </c>
      <c r="Y6" s="40" t="s">
        <v>34</v>
      </c>
      <c r="Z6" s="41">
        <v>1.917969</v>
      </c>
      <c r="AA6" s="41">
        <v>7.9711</v>
      </c>
    </row>
    <row r="7">
      <c r="A7" s="36">
        <f t="shared" si="1"/>
        <v>2</v>
      </c>
      <c r="B7" s="17" t="s">
        <v>11</v>
      </c>
      <c r="C7" s="17" t="s">
        <v>35</v>
      </c>
      <c r="D7" s="37" t="s">
        <v>36</v>
      </c>
      <c r="E7" s="38">
        <v>0.0059</v>
      </c>
      <c r="F7" s="39">
        <v>0.67</v>
      </c>
      <c r="G7" s="40" t="s">
        <v>37</v>
      </c>
      <c r="H7" s="41">
        <v>0.004883</v>
      </c>
      <c r="I7" s="41">
        <v>0.7382</v>
      </c>
      <c r="J7" s="37" t="s">
        <v>38</v>
      </c>
      <c r="K7" s="38">
        <v>1.0303</v>
      </c>
      <c r="L7" s="39">
        <v>0.9432</v>
      </c>
      <c r="M7" s="40" t="s">
        <v>39</v>
      </c>
      <c r="N7" s="41">
        <v>0.010742</v>
      </c>
      <c r="O7" s="41">
        <v>0.9255</v>
      </c>
      <c r="P7" s="37" t="s">
        <v>40</v>
      </c>
      <c r="Q7" s="38">
        <v>1.0615</v>
      </c>
      <c r="R7" s="39">
        <v>0.527</v>
      </c>
      <c r="S7" s="40" t="s">
        <v>41</v>
      </c>
      <c r="T7" s="41">
        <v>0.030273</v>
      </c>
      <c r="U7" s="41">
        <v>1.6895</v>
      </c>
      <c r="V7" s="37" t="s">
        <v>42</v>
      </c>
      <c r="W7" s="38">
        <v>1.334</v>
      </c>
      <c r="X7" s="39">
        <v>0.6407</v>
      </c>
      <c r="Y7" s="40" t="s">
        <v>43</v>
      </c>
      <c r="Z7" s="41">
        <v>0.049805</v>
      </c>
      <c r="AA7" s="41">
        <v>2.3119</v>
      </c>
    </row>
    <row r="8">
      <c r="A8" s="36">
        <f t="shared" si="1"/>
        <v>3</v>
      </c>
      <c r="B8" s="17" t="s">
        <v>11</v>
      </c>
      <c r="C8" s="17" t="s">
        <v>44</v>
      </c>
      <c r="D8" s="37" t="s">
        <v>45</v>
      </c>
      <c r="E8" s="38">
        <v>0.0068</v>
      </c>
      <c r="F8" s="39">
        <v>0.6079</v>
      </c>
      <c r="G8" s="40" t="s">
        <v>46</v>
      </c>
      <c r="H8" s="41">
        <v>0.004883</v>
      </c>
      <c r="I8" s="41">
        <v>0.6779</v>
      </c>
      <c r="J8" s="37" t="s">
        <v>47</v>
      </c>
      <c r="K8" s="38">
        <v>0.4854</v>
      </c>
      <c r="L8" s="39">
        <v>0.7711</v>
      </c>
      <c r="M8" s="40" t="s">
        <v>48</v>
      </c>
      <c r="N8" s="41">
        <v>0.011719</v>
      </c>
      <c r="O8" s="41">
        <v>1.0507</v>
      </c>
      <c r="P8" s="37" t="s">
        <v>49</v>
      </c>
      <c r="Q8" s="38">
        <v>1.4805</v>
      </c>
      <c r="R8" s="39">
        <v>0.53</v>
      </c>
      <c r="S8" s="40" t="s">
        <v>50</v>
      </c>
      <c r="T8" s="41">
        <v>0.023438</v>
      </c>
      <c r="U8" s="41">
        <v>1.6948</v>
      </c>
      <c r="V8" s="37" t="s">
        <v>51</v>
      </c>
      <c r="W8" s="38">
        <v>2.0576</v>
      </c>
      <c r="X8" s="39">
        <v>0.6446</v>
      </c>
      <c r="Y8" s="40" t="s">
        <v>52</v>
      </c>
      <c r="Z8" s="41">
        <v>0.035156</v>
      </c>
      <c r="AA8" s="41">
        <v>2.3142</v>
      </c>
    </row>
    <row r="9">
      <c r="A9" s="36">
        <f t="shared" si="1"/>
        <v>4</v>
      </c>
      <c r="B9" s="17" t="s">
        <v>11</v>
      </c>
      <c r="C9" s="17" t="s">
        <v>53</v>
      </c>
      <c r="D9" s="37" t="s">
        <v>54</v>
      </c>
      <c r="E9" s="38">
        <v>0.0117</v>
      </c>
      <c r="F9" s="39">
        <v>0.5066</v>
      </c>
      <c r="G9" s="40" t="s">
        <v>55</v>
      </c>
      <c r="H9" s="41">
        <v>0.011719</v>
      </c>
      <c r="I9" s="41">
        <v>0.3059</v>
      </c>
      <c r="J9" s="37" t="s">
        <v>56</v>
      </c>
      <c r="K9" s="38">
        <v>0.6709</v>
      </c>
      <c r="L9" s="39">
        <v>0.7876</v>
      </c>
      <c r="M9" s="40" t="s">
        <v>57</v>
      </c>
      <c r="N9" s="41">
        <v>0.023438</v>
      </c>
      <c r="O9" s="41">
        <v>0.356</v>
      </c>
      <c r="P9" s="37" t="s">
        <v>58</v>
      </c>
      <c r="Q9" s="38">
        <v>0.7637</v>
      </c>
      <c r="R9" s="39">
        <v>0.415</v>
      </c>
      <c r="S9" s="40" t="s">
        <v>59</v>
      </c>
      <c r="T9" s="41">
        <v>0.042969</v>
      </c>
      <c r="U9" s="41">
        <v>0.5671</v>
      </c>
      <c r="V9" s="37" t="s">
        <v>60</v>
      </c>
      <c r="W9" s="38">
        <v>0.8594</v>
      </c>
      <c r="X9" s="39">
        <v>0.6133</v>
      </c>
      <c r="Y9" s="40" t="s">
        <v>61</v>
      </c>
      <c r="Z9" s="41">
        <v>0.070312</v>
      </c>
      <c r="AA9" s="41">
        <v>0.7631</v>
      </c>
    </row>
    <row r="10">
      <c r="A10" s="36">
        <f t="shared" si="1"/>
        <v>5</v>
      </c>
      <c r="B10" s="17" t="s">
        <v>11</v>
      </c>
      <c r="C10" s="17" t="s">
        <v>62</v>
      </c>
      <c r="D10" s="37" t="s">
        <v>63</v>
      </c>
      <c r="E10" s="38">
        <v>0.0068</v>
      </c>
      <c r="F10" s="39">
        <v>0.4252</v>
      </c>
      <c r="G10" s="40" t="s">
        <v>64</v>
      </c>
      <c r="H10" s="41">
        <v>0.005859</v>
      </c>
      <c r="I10" s="41">
        <v>0.2202</v>
      </c>
      <c r="J10" s="37" t="s">
        <v>65</v>
      </c>
      <c r="K10" s="38">
        <v>0.623</v>
      </c>
      <c r="L10" s="39">
        <v>0.73</v>
      </c>
      <c r="M10" s="40" t="s">
        <v>66</v>
      </c>
      <c r="N10" s="41">
        <v>0.025391</v>
      </c>
      <c r="O10" s="41">
        <v>0.2468</v>
      </c>
      <c r="P10" s="37" t="s">
        <v>67</v>
      </c>
      <c r="Q10" s="38">
        <v>0.7832</v>
      </c>
      <c r="R10" s="39">
        <v>0.2704</v>
      </c>
      <c r="S10" s="40" t="s">
        <v>68</v>
      </c>
      <c r="T10" s="41">
        <v>0.052734</v>
      </c>
      <c r="U10" s="41">
        <v>0.2279</v>
      </c>
      <c r="V10" s="37" t="s">
        <v>69</v>
      </c>
      <c r="W10" s="38">
        <v>0.8086</v>
      </c>
      <c r="X10" s="39">
        <v>0.449</v>
      </c>
      <c r="Y10" s="40" t="s">
        <v>70</v>
      </c>
      <c r="Z10" s="41">
        <v>0.158203</v>
      </c>
      <c r="AA10" s="41">
        <v>0.2534</v>
      </c>
    </row>
    <row r="11">
      <c r="A11" s="36">
        <f t="shared" si="1"/>
        <v>6</v>
      </c>
      <c r="B11" s="17" t="s">
        <v>11</v>
      </c>
      <c r="C11" s="17" t="s">
        <v>71</v>
      </c>
      <c r="D11" s="37" t="s">
        <v>72</v>
      </c>
      <c r="E11" s="38">
        <v>0.0244</v>
      </c>
      <c r="F11" s="39">
        <v>0.2577</v>
      </c>
      <c r="G11" s="40" t="s">
        <v>73</v>
      </c>
      <c r="H11" s="41">
        <v>0.015625</v>
      </c>
      <c r="I11" s="41">
        <v>0.0399</v>
      </c>
      <c r="J11" s="37" t="s">
        <v>74</v>
      </c>
      <c r="K11" s="38">
        <v>0.1113</v>
      </c>
      <c r="L11" s="39">
        <v>0.3657</v>
      </c>
      <c r="M11" s="40" t="s">
        <v>75</v>
      </c>
      <c r="N11" s="41">
        <v>0.040039</v>
      </c>
      <c r="O11" s="41">
        <v>0.0527</v>
      </c>
      <c r="P11" s="37" t="s">
        <v>76</v>
      </c>
      <c r="Q11" s="38">
        <v>0.4346</v>
      </c>
      <c r="R11" s="39">
        <v>0.3611</v>
      </c>
      <c r="S11" s="40" t="s">
        <v>77</v>
      </c>
      <c r="T11" s="41">
        <v>0.077148</v>
      </c>
      <c r="U11" s="41">
        <v>0.0414</v>
      </c>
      <c r="V11" s="37" t="s">
        <v>78</v>
      </c>
      <c r="W11" s="38">
        <v>0.54</v>
      </c>
      <c r="X11" s="39">
        <v>0.4338</v>
      </c>
      <c r="Y11" s="40" t="s">
        <v>79</v>
      </c>
      <c r="Z11" s="41">
        <v>0.12793</v>
      </c>
      <c r="AA11" s="41">
        <v>0.0574</v>
      </c>
    </row>
    <row r="12">
      <c r="A12" s="36">
        <f t="shared" si="1"/>
        <v>7</v>
      </c>
      <c r="B12" s="17" t="s">
        <v>11</v>
      </c>
      <c r="C12" s="17" t="s">
        <v>80</v>
      </c>
      <c r="D12" s="37" t="s">
        <v>81</v>
      </c>
      <c r="E12" s="38">
        <v>0.0117</v>
      </c>
      <c r="F12" s="39">
        <v>0.2377</v>
      </c>
      <c r="G12" s="40" t="s">
        <v>82</v>
      </c>
      <c r="H12" s="41">
        <v>0.003906</v>
      </c>
      <c r="I12" s="41">
        <v>0.051</v>
      </c>
      <c r="J12" s="37" t="s">
        <v>83</v>
      </c>
      <c r="K12" s="38">
        <v>0.04</v>
      </c>
      <c r="L12" s="39">
        <v>0.4699</v>
      </c>
      <c r="M12" s="40" t="s">
        <v>84</v>
      </c>
      <c r="N12" s="41">
        <v>0.015625</v>
      </c>
      <c r="O12" s="41">
        <v>0.0395</v>
      </c>
      <c r="P12" s="37" t="s">
        <v>85</v>
      </c>
      <c r="Q12" s="38">
        <v>0.1211</v>
      </c>
      <c r="R12" s="39">
        <v>0.3309</v>
      </c>
      <c r="S12" s="40" t="s">
        <v>86</v>
      </c>
      <c r="T12" s="41">
        <v>0.035156</v>
      </c>
      <c r="U12" s="41">
        <v>0.0723</v>
      </c>
      <c r="V12" s="37" t="s">
        <v>87</v>
      </c>
      <c r="W12" s="38">
        <v>0.2646</v>
      </c>
      <c r="X12" s="39">
        <v>0.321</v>
      </c>
      <c r="Y12" s="40" t="s">
        <v>88</v>
      </c>
      <c r="Z12" s="41">
        <v>0.05957</v>
      </c>
      <c r="AA12" s="41">
        <v>0.1001</v>
      </c>
    </row>
    <row r="13">
      <c r="A13" s="36">
        <f t="shared" si="1"/>
        <v>8</v>
      </c>
      <c r="B13" s="17" t="s">
        <v>35</v>
      </c>
      <c r="C13" s="17" t="s">
        <v>11</v>
      </c>
      <c r="D13" s="37" t="s">
        <v>89</v>
      </c>
      <c r="E13" s="38">
        <v>0.4805</v>
      </c>
      <c r="F13" s="39">
        <v>0.7161</v>
      </c>
      <c r="G13" s="40" t="s">
        <v>90</v>
      </c>
      <c r="H13" s="41">
        <v>0.472656</v>
      </c>
      <c r="I13" s="41">
        <v>1.5776</v>
      </c>
      <c r="J13" s="37" t="s">
        <v>91</v>
      </c>
      <c r="K13" s="38">
        <v>2.8574</v>
      </c>
      <c r="L13" s="39">
        <v>0.8058</v>
      </c>
      <c r="M13" s="40" t="s">
        <v>92</v>
      </c>
      <c r="N13" s="41">
        <v>0.953125</v>
      </c>
      <c r="O13" s="41">
        <v>2.202</v>
      </c>
      <c r="P13" s="37" t="s">
        <v>93</v>
      </c>
      <c r="Q13" s="38">
        <v>2.4678</v>
      </c>
      <c r="R13" s="39">
        <v>0.5645</v>
      </c>
      <c r="S13" s="40" t="s">
        <v>94</v>
      </c>
      <c r="T13" s="41">
        <v>1.433594</v>
      </c>
      <c r="U13" s="41">
        <v>5.6584</v>
      </c>
      <c r="V13" s="37" t="s">
        <v>95</v>
      </c>
      <c r="W13" s="38">
        <v>3.9355</v>
      </c>
      <c r="X13" s="39">
        <v>0.5584</v>
      </c>
      <c r="Y13" s="40" t="s">
        <v>96</v>
      </c>
      <c r="Z13" s="41">
        <v>1.917969</v>
      </c>
      <c r="AA13" s="41">
        <v>7.7408</v>
      </c>
    </row>
    <row r="14">
      <c r="A14" s="36">
        <f t="shared" si="1"/>
        <v>9</v>
      </c>
      <c r="B14" s="17" t="s">
        <v>35</v>
      </c>
      <c r="C14" s="17" t="s">
        <v>35</v>
      </c>
      <c r="D14" s="37" t="s">
        <v>97</v>
      </c>
      <c r="E14" s="38">
        <v>0.0195</v>
      </c>
      <c r="F14" s="39">
        <v>0.5444</v>
      </c>
      <c r="G14" s="40" t="s">
        <v>98</v>
      </c>
      <c r="H14" s="41">
        <v>0.004883</v>
      </c>
      <c r="I14" s="41">
        <v>0.9293</v>
      </c>
      <c r="J14" s="37" t="s">
        <v>99</v>
      </c>
      <c r="K14" s="38">
        <v>0.5166</v>
      </c>
      <c r="L14" s="39">
        <v>0.7133</v>
      </c>
      <c r="M14" s="40" t="s">
        <v>100</v>
      </c>
      <c r="N14" s="41">
        <v>0.024414</v>
      </c>
      <c r="O14" s="41">
        <v>1.082</v>
      </c>
      <c r="P14" s="37" t="s">
        <v>101</v>
      </c>
      <c r="Q14" s="38">
        <v>0.583</v>
      </c>
      <c r="R14" s="39">
        <v>0.4859</v>
      </c>
      <c r="S14" s="40" t="s">
        <v>102</v>
      </c>
      <c r="T14" s="41">
        <v>0.043945</v>
      </c>
      <c r="U14" s="41">
        <v>1.8993</v>
      </c>
      <c r="V14" s="37" t="s">
        <v>103</v>
      </c>
      <c r="W14" s="38">
        <v>1.083</v>
      </c>
      <c r="X14" s="39">
        <v>0.554</v>
      </c>
      <c r="Y14" s="40" t="s">
        <v>104</v>
      </c>
      <c r="Z14" s="41">
        <v>0.071289</v>
      </c>
      <c r="AA14" s="41">
        <v>2.1902</v>
      </c>
    </row>
    <row r="15">
      <c r="A15" s="36">
        <f t="shared" si="1"/>
        <v>10</v>
      </c>
      <c r="B15" s="17" t="s">
        <v>35</v>
      </c>
      <c r="C15" s="17" t="s">
        <v>44</v>
      </c>
      <c r="D15" s="37" t="s">
        <v>105</v>
      </c>
      <c r="E15" s="38">
        <v>0.0068</v>
      </c>
      <c r="F15" s="39">
        <v>0.456</v>
      </c>
      <c r="G15" s="40" t="s">
        <v>106</v>
      </c>
      <c r="H15" s="41">
        <v>0.004883</v>
      </c>
      <c r="I15" s="41">
        <v>0.634</v>
      </c>
      <c r="J15" s="37" t="s">
        <v>107</v>
      </c>
      <c r="K15" s="38">
        <v>0.0391</v>
      </c>
      <c r="L15" s="39">
        <v>0.7383</v>
      </c>
      <c r="M15" s="40" t="s">
        <v>108</v>
      </c>
      <c r="N15" s="41">
        <v>0.011719</v>
      </c>
      <c r="O15" s="41">
        <v>0.8582</v>
      </c>
      <c r="P15" s="37" t="s">
        <v>109</v>
      </c>
      <c r="Q15" s="38">
        <v>1.5986</v>
      </c>
      <c r="R15" s="39">
        <v>0.5174</v>
      </c>
      <c r="S15" s="40" t="s">
        <v>110</v>
      </c>
      <c r="T15" s="41">
        <v>0.023438</v>
      </c>
      <c r="U15" s="41">
        <v>1.4871</v>
      </c>
      <c r="V15" s="37" t="s">
        <v>111</v>
      </c>
      <c r="W15" s="38">
        <v>1.6484</v>
      </c>
      <c r="X15" s="39">
        <v>0.5825</v>
      </c>
      <c r="Y15" s="40" t="s">
        <v>112</v>
      </c>
      <c r="Z15" s="41">
        <v>0.035156</v>
      </c>
      <c r="AA15" s="41">
        <v>2.2531</v>
      </c>
    </row>
    <row r="16">
      <c r="A16" s="36">
        <f t="shared" si="1"/>
        <v>11</v>
      </c>
      <c r="B16" s="17" t="s">
        <v>35</v>
      </c>
      <c r="C16" s="17" t="s">
        <v>53</v>
      </c>
      <c r="D16" s="37" t="s">
        <v>113</v>
      </c>
      <c r="E16" s="38">
        <v>0.0117</v>
      </c>
      <c r="F16" s="39">
        <v>0.366</v>
      </c>
      <c r="G16" s="40" t="s">
        <v>114</v>
      </c>
      <c r="H16" s="41">
        <v>0.011719</v>
      </c>
      <c r="I16" s="41">
        <v>0.3313</v>
      </c>
      <c r="J16" s="37" t="s">
        <v>115</v>
      </c>
      <c r="K16" s="38">
        <v>0.5107</v>
      </c>
      <c r="L16" s="39">
        <v>0.5766</v>
      </c>
      <c r="M16" s="40" t="s">
        <v>116</v>
      </c>
      <c r="N16" s="41">
        <v>0.023438</v>
      </c>
      <c r="O16" s="41">
        <v>0.3762</v>
      </c>
      <c r="P16" s="37" t="s">
        <v>117</v>
      </c>
      <c r="Q16" s="38">
        <v>0.666</v>
      </c>
      <c r="R16" s="39">
        <v>0.4595</v>
      </c>
      <c r="S16" s="40" t="s">
        <v>118</v>
      </c>
      <c r="T16" s="41">
        <v>0.042969</v>
      </c>
      <c r="U16" s="41">
        <v>0.5741</v>
      </c>
      <c r="V16" s="37" t="s">
        <v>119</v>
      </c>
      <c r="W16" s="38">
        <v>0.7949</v>
      </c>
      <c r="X16" s="39">
        <v>0.5314</v>
      </c>
      <c r="Y16" s="40" t="s">
        <v>120</v>
      </c>
      <c r="Z16" s="41">
        <v>0.070312</v>
      </c>
      <c r="AA16" s="41">
        <v>0.7777</v>
      </c>
    </row>
    <row r="17">
      <c r="A17" s="36">
        <f t="shared" si="1"/>
        <v>12</v>
      </c>
      <c r="B17" s="17" t="s">
        <v>35</v>
      </c>
      <c r="C17" s="17" t="s">
        <v>62</v>
      </c>
      <c r="D17" s="37" t="s">
        <v>121</v>
      </c>
      <c r="E17" s="38">
        <v>0.0273</v>
      </c>
      <c r="F17" s="39">
        <v>0.3018</v>
      </c>
      <c r="G17" s="40" t="s">
        <v>122</v>
      </c>
      <c r="H17" s="41">
        <v>0.019531</v>
      </c>
      <c r="I17" s="41">
        <v>0.2098</v>
      </c>
      <c r="J17" s="37" t="s">
        <v>123</v>
      </c>
      <c r="K17" s="38">
        <v>0.5352</v>
      </c>
      <c r="L17" s="39">
        <v>0.6536</v>
      </c>
      <c r="M17" s="40" t="s">
        <v>124</v>
      </c>
      <c r="N17" s="41">
        <v>0.046875</v>
      </c>
      <c r="O17" s="41">
        <v>0.2229</v>
      </c>
      <c r="P17" s="37" t="s">
        <v>117</v>
      </c>
      <c r="Q17" s="38">
        <v>0.666</v>
      </c>
      <c r="R17" s="39">
        <v>0.4663</v>
      </c>
      <c r="S17" s="40" t="s">
        <v>125</v>
      </c>
      <c r="T17" s="41">
        <v>0.152344</v>
      </c>
      <c r="U17" s="41">
        <v>0.2633</v>
      </c>
      <c r="V17" s="37" t="s">
        <v>126</v>
      </c>
      <c r="W17" s="38">
        <v>0.6914</v>
      </c>
      <c r="X17" s="39">
        <v>0.4364</v>
      </c>
      <c r="Y17" s="40" t="s">
        <v>127</v>
      </c>
      <c r="Z17" s="41">
        <v>0.261719</v>
      </c>
      <c r="AA17" s="41">
        <v>0.1985</v>
      </c>
    </row>
    <row r="18">
      <c r="A18" s="36">
        <f t="shared" si="1"/>
        <v>13</v>
      </c>
      <c r="B18" s="17" t="s">
        <v>35</v>
      </c>
      <c r="C18" s="17" t="s">
        <v>71</v>
      </c>
      <c r="D18" s="37" t="s">
        <v>128</v>
      </c>
      <c r="E18" s="38">
        <v>0.0244</v>
      </c>
      <c r="F18" s="39">
        <v>0.2385</v>
      </c>
      <c r="G18" s="40" t="s">
        <v>129</v>
      </c>
      <c r="H18" s="41">
        <v>0.015625</v>
      </c>
      <c r="I18" s="41">
        <v>0.0333</v>
      </c>
      <c r="J18" s="37" t="s">
        <v>130</v>
      </c>
      <c r="K18" s="38">
        <v>0.3438</v>
      </c>
      <c r="L18" s="39">
        <v>0.337</v>
      </c>
      <c r="M18" s="40" t="s">
        <v>131</v>
      </c>
      <c r="N18" s="41">
        <v>0.040039</v>
      </c>
      <c r="O18" s="41">
        <v>0.0285</v>
      </c>
      <c r="P18" s="37" t="s">
        <v>132</v>
      </c>
      <c r="Q18" s="38">
        <v>0.4092</v>
      </c>
      <c r="R18" s="39">
        <v>0.2809</v>
      </c>
      <c r="S18" s="40" t="s">
        <v>133</v>
      </c>
      <c r="T18" s="41">
        <v>0.09082</v>
      </c>
      <c r="U18" s="41">
        <v>0.0316</v>
      </c>
      <c r="V18" s="37" t="s">
        <v>134</v>
      </c>
      <c r="W18" s="38">
        <v>0.5029</v>
      </c>
      <c r="X18" s="39">
        <v>0.2332</v>
      </c>
      <c r="Y18" s="40" t="s">
        <v>135</v>
      </c>
      <c r="Z18" s="41">
        <v>0.165039</v>
      </c>
      <c r="AA18" s="41">
        <v>0.059</v>
      </c>
    </row>
    <row r="19">
      <c r="A19" s="36">
        <f t="shared" si="1"/>
        <v>14</v>
      </c>
      <c r="B19" s="17" t="s">
        <v>35</v>
      </c>
      <c r="C19" s="17" t="s">
        <v>80</v>
      </c>
      <c r="D19" s="37" t="s">
        <v>136</v>
      </c>
      <c r="E19" s="38">
        <v>0.0117</v>
      </c>
      <c r="F19" s="39">
        <v>0.1999</v>
      </c>
      <c r="G19" s="40" t="s">
        <v>137</v>
      </c>
      <c r="H19" s="41">
        <v>0.003906</v>
      </c>
      <c r="I19" s="41">
        <v>0.0351</v>
      </c>
      <c r="J19" s="37" t="s">
        <v>138</v>
      </c>
      <c r="K19" s="38">
        <v>0.1875</v>
      </c>
      <c r="L19" s="39">
        <v>0.4083</v>
      </c>
      <c r="M19" s="40" t="s">
        <v>139</v>
      </c>
      <c r="N19" s="41">
        <v>0.015625</v>
      </c>
      <c r="O19" s="41">
        <v>0.0285</v>
      </c>
      <c r="P19" s="37" t="s">
        <v>140</v>
      </c>
      <c r="Q19" s="38">
        <v>0.0967</v>
      </c>
      <c r="R19" s="39">
        <v>0.2941</v>
      </c>
      <c r="S19" s="40" t="s">
        <v>141</v>
      </c>
      <c r="T19" s="41">
        <v>0.035156</v>
      </c>
      <c r="U19" s="41">
        <v>0.0527</v>
      </c>
      <c r="V19" s="37" t="s">
        <v>142</v>
      </c>
      <c r="W19" s="38">
        <v>0.2529</v>
      </c>
      <c r="X19" s="39">
        <v>0.3306</v>
      </c>
      <c r="Y19" s="40" t="s">
        <v>143</v>
      </c>
      <c r="Z19" s="41">
        <v>0.05957</v>
      </c>
      <c r="AA19" s="41">
        <v>0.0578</v>
      </c>
    </row>
    <row r="20">
      <c r="A20" s="36">
        <f t="shared" si="1"/>
        <v>15</v>
      </c>
      <c r="B20" s="17" t="s">
        <v>44</v>
      </c>
      <c r="C20" s="17" t="s">
        <v>11</v>
      </c>
      <c r="D20" s="37" t="s">
        <v>144</v>
      </c>
      <c r="E20" s="38">
        <v>0.4805</v>
      </c>
      <c r="F20" s="39">
        <v>0.7613</v>
      </c>
      <c r="G20" s="40" t="s">
        <v>145</v>
      </c>
      <c r="H20" s="41">
        <v>0.472656</v>
      </c>
      <c r="I20" s="41">
        <v>1.4658</v>
      </c>
      <c r="J20" s="37" t="s">
        <v>146</v>
      </c>
      <c r="K20" s="38">
        <v>2.7324</v>
      </c>
      <c r="L20" s="39">
        <v>0.8769</v>
      </c>
      <c r="M20" s="40" t="s">
        <v>147</v>
      </c>
      <c r="N20" s="41">
        <v>0.953125</v>
      </c>
      <c r="O20" s="41">
        <v>1.979</v>
      </c>
      <c r="P20" s="37" t="s">
        <v>148</v>
      </c>
      <c r="Q20" s="38">
        <v>3.332</v>
      </c>
      <c r="R20" s="39">
        <v>0.4964</v>
      </c>
      <c r="S20" s="40" t="s">
        <v>149</v>
      </c>
      <c r="T20" s="41">
        <v>0.984375</v>
      </c>
      <c r="U20" s="41">
        <v>4.6532</v>
      </c>
      <c r="V20" s="37" t="s">
        <v>150</v>
      </c>
      <c r="W20" s="38">
        <v>3.5596</v>
      </c>
      <c r="X20" s="39">
        <v>0.6713</v>
      </c>
      <c r="Y20" s="40" t="s">
        <v>151</v>
      </c>
      <c r="Z20" s="41">
        <v>1.464844</v>
      </c>
      <c r="AA20" s="41">
        <v>5.7658</v>
      </c>
    </row>
    <row r="21" ht="15.75" customHeight="1">
      <c r="A21" s="36">
        <f t="shared" si="1"/>
        <v>16</v>
      </c>
      <c r="B21" s="17" t="s">
        <v>44</v>
      </c>
      <c r="C21" s="17" t="s">
        <v>35</v>
      </c>
      <c r="D21" s="37" t="s">
        <v>152</v>
      </c>
      <c r="E21" s="38">
        <v>0.0059</v>
      </c>
      <c r="F21" s="39">
        <v>0.5266</v>
      </c>
      <c r="G21" s="40" t="s">
        <v>153</v>
      </c>
      <c r="H21" s="41">
        <v>0.004883</v>
      </c>
      <c r="I21" s="41">
        <v>0.6163</v>
      </c>
      <c r="J21" s="37" t="s">
        <v>154</v>
      </c>
      <c r="K21" s="38">
        <v>0.5166</v>
      </c>
      <c r="L21" s="39">
        <v>0.6742</v>
      </c>
      <c r="M21" s="40" t="s">
        <v>155</v>
      </c>
      <c r="N21" s="41">
        <v>0.010742</v>
      </c>
      <c r="O21" s="41">
        <v>0.8057</v>
      </c>
      <c r="P21" s="37" t="s">
        <v>156</v>
      </c>
      <c r="Q21" s="38">
        <v>0.5693</v>
      </c>
      <c r="R21" s="39">
        <v>0.489</v>
      </c>
      <c r="S21" s="40" t="s">
        <v>157</v>
      </c>
      <c r="T21" s="41">
        <v>0.030273</v>
      </c>
      <c r="U21" s="41">
        <v>1.3203</v>
      </c>
      <c r="V21" s="37" t="s">
        <v>158</v>
      </c>
      <c r="W21" s="38">
        <v>1.3145</v>
      </c>
      <c r="X21" s="39">
        <v>0.5491</v>
      </c>
      <c r="Y21" s="40" t="s">
        <v>159</v>
      </c>
      <c r="Z21" s="41">
        <v>0.057617</v>
      </c>
      <c r="AA21" s="41">
        <v>2.0057</v>
      </c>
    </row>
    <row r="22" ht="15.75" customHeight="1">
      <c r="A22" s="36">
        <f t="shared" si="1"/>
        <v>17</v>
      </c>
      <c r="B22" s="17" t="s">
        <v>44</v>
      </c>
      <c r="C22" s="17" t="s">
        <v>44</v>
      </c>
      <c r="D22" s="37" t="s">
        <v>160</v>
      </c>
      <c r="E22" s="38">
        <v>0.0068</v>
      </c>
      <c r="F22" s="39">
        <v>0.4873</v>
      </c>
      <c r="G22" s="40" t="s">
        <v>161</v>
      </c>
      <c r="H22" s="41">
        <v>0.004883</v>
      </c>
      <c r="I22" s="41">
        <v>0.749</v>
      </c>
      <c r="J22" s="37" t="s">
        <v>162</v>
      </c>
      <c r="K22" s="38">
        <v>0.7578</v>
      </c>
      <c r="L22" s="39">
        <v>0.6914</v>
      </c>
      <c r="M22" s="40" t="s">
        <v>163</v>
      </c>
      <c r="N22" s="41">
        <v>0.011719</v>
      </c>
      <c r="O22" s="41">
        <v>0.8609</v>
      </c>
      <c r="P22" s="37" t="s">
        <v>164</v>
      </c>
      <c r="Q22" s="38">
        <v>1.5537</v>
      </c>
      <c r="R22" s="39">
        <v>0.3881</v>
      </c>
      <c r="S22" s="40" t="s">
        <v>165</v>
      </c>
      <c r="T22" s="41">
        <v>0.023438</v>
      </c>
      <c r="U22" s="41">
        <v>1.3359</v>
      </c>
      <c r="V22" s="37" t="s">
        <v>166</v>
      </c>
      <c r="W22" s="38">
        <v>1.5762</v>
      </c>
      <c r="X22" s="39">
        <v>0.568</v>
      </c>
      <c r="Y22" s="40" t="s">
        <v>167</v>
      </c>
      <c r="Z22" s="41">
        <v>0.035156</v>
      </c>
      <c r="AA22" s="41">
        <v>1.9081</v>
      </c>
    </row>
    <row r="23" ht="15.75" customHeight="1">
      <c r="A23" s="36">
        <f t="shared" si="1"/>
        <v>18</v>
      </c>
      <c r="B23" s="17" t="s">
        <v>44</v>
      </c>
      <c r="C23" s="17" t="s">
        <v>53</v>
      </c>
      <c r="D23" s="37" t="s">
        <v>168</v>
      </c>
      <c r="E23" s="38">
        <v>0.0117</v>
      </c>
      <c r="F23" s="39">
        <v>0.3808</v>
      </c>
      <c r="G23" s="40" t="s">
        <v>169</v>
      </c>
      <c r="H23" s="41">
        <v>0.011719</v>
      </c>
      <c r="I23" s="41">
        <v>0.2823</v>
      </c>
      <c r="J23" s="37" t="s">
        <v>170</v>
      </c>
      <c r="K23" s="38">
        <v>0.0508</v>
      </c>
      <c r="L23" s="39">
        <v>0.6837</v>
      </c>
      <c r="M23" s="40" t="s">
        <v>171</v>
      </c>
      <c r="N23" s="41">
        <v>0.023438</v>
      </c>
      <c r="O23" s="41">
        <v>0.3267</v>
      </c>
      <c r="P23" s="37" t="s">
        <v>172</v>
      </c>
      <c r="Q23" s="38">
        <v>1.0967</v>
      </c>
      <c r="R23" s="39">
        <v>0.4635</v>
      </c>
      <c r="S23" s="40" t="s">
        <v>173</v>
      </c>
      <c r="T23" s="41">
        <v>0.050781</v>
      </c>
      <c r="U23" s="41">
        <v>0.5041</v>
      </c>
      <c r="V23" s="37" t="s">
        <v>174</v>
      </c>
      <c r="W23" s="38">
        <v>0.8008</v>
      </c>
      <c r="X23" s="39">
        <v>0.5404</v>
      </c>
      <c r="Y23" s="40" t="s">
        <v>175</v>
      </c>
      <c r="Z23" s="41">
        <v>0.28125</v>
      </c>
      <c r="AA23" s="41">
        <v>0.5102</v>
      </c>
    </row>
    <row r="24" ht="15.75" customHeight="1">
      <c r="A24" s="36">
        <f t="shared" si="1"/>
        <v>19</v>
      </c>
      <c r="B24" s="17" t="s">
        <v>44</v>
      </c>
      <c r="C24" s="17" t="s">
        <v>62</v>
      </c>
      <c r="D24" s="37" t="s">
        <v>176</v>
      </c>
      <c r="E24" s="38">
        <v>0.0195</v>
      </c>
      <c r="F24" s="39">
        <v>0.2991</v>
      </c>
      <c r="G24" s="40" t="s">
        <v>177</v>
      </c>
      <c r="H24" s="41">
        <v>0.005859</v>
      </c>
      <c r="I24" s="41">
        <v>0.1342</v>
      </c>
      <c r="J24" s="37" t="s">
        <v>178</v>
      </c>
      <c r="K24" s="38">
        <v>0.5625</v>
      </c>
      <c r="L24" s="39">
        <v>0.5322</v>
      </c>
      <c r="M24" s="40" t="s">
        <v>179</v>
      </c>
      <c r="N24" s="41">
        <v>0.025391</v>
      </c>
      <c r="O24" s="41">
        <v>0.143</v>
      </c>
      <c r="P24" s="37" t="s">
        <v>180</v>
      </c>
      <c r="Q24" s="38">
        <v>0.5527</v>
      </c>
      <c r="R24" s="39">
        <v>0.3953</v>
      </c>
      <c r="S24" s="40" t="s">
        <v>181</v>
      </c>
      <c r="T24" s="41">
        <v>0.052734</v>
      </c>
      <c r="U24" s="41">
        <v>0.1764</v>
      </c>
      <c r="V24" s="37" t="s">
        <v>182</v>
      </c>
      <c r="W24" s="38">
        <v>0.6953</v>
      </c>
      <c r="X24" s="39">
        <v>0.4414</v>
      </c>
      <c r="Y24" s="40" t="s">
        <v>183</v>
      </c>
      <c r="Z24" s="41">
        <v>0.162109</v>
      </c>
      <c r="AA24" s="41">
        <v>0.22</v>
      </c>
    </row>
    <row r="25" ht="15.75" customHeight="1">
      <c r="A25" s="36">
        <f t="shared" si="1"/>
        <v>20</v>
      </c>
      <c r="B25" s="17" t="s">
        <v>44</v>
      </c>
      <c r="C25" s="17" t="s">
        <v>71</v>
      </c>
      <c r="D25" s="37" t="s">
        <v>184</v>
      </c>
      <c r="E25" s="38">
        <v>0.0244</v>
      </c>
      <c r="F25" s="39">
        <v>0.2039</v>
      </c>
      <c r="G25" s="40" t="s">
        <v>185</v>
      </c>
      <c r="H25" s="41">
        <v>0.015625</v>
      </c>
      <c r="I25" s="41">
        <v>0.0338</v>
      </c>
      <c r="J25" s="37" t="s">
        <v>186</v>
      </c>
      <c r="K25" s="38">
        <v>0.1113</v>
      </c>
      <c r="L25" s="39">
        <v>0.2566</v>
      </c>
      <c r="M25" s="40" t="s">
        <v>187</v>
      </c>
      <c r="N25" s="41">
        <v>0.040039</v>
      </c>
      <c r="O25" s="41">
        <v>0.0531</v>
      </c>
      <c r="P25" s="37" t="s">
        <v>188</v>
      </c>
      <c r="Q25" s="38">
        <v>0.4121</v>
      </c>
      <c r="R25" s="39">
        <v>0.2575</v>
      </c>
      <c r="S25" s="40" t="s">
        <v>189</v>
      </c>
      <c r="T25" s="41">
        <v>0.077148</v>
      </c>
      <c r="U25" s="41">
        <v>0.0316</v>
      </c>
      <c r="V25" s="37" t="s">
        <v>190</v>
      </c>
      <c r="W25" s="38">
        <v>0.4316</v>
      </c>
      <c r="X25" s="39">
        <v>0.2855</v>
      </c>
      <c r="Y25" s="40" t="s">
        <v>191</v>
      </c>
      <c r="Z25" s="41">
        <v>0.151367</v>
      </c>
      <c r="AA25" s="41">
        <v>0.0461</v>
      </c>
    </row>
    <row r="26" ht="15.75" customHeight="1">
      <c r="A26" s="36">
        <f t="shared" si="1"/>
        <v>21</v>
      </c>
      <c r="B26" s="17" t="s">
        <v>44</v>
      </c>
      <c r="C26" s="17" t="s">
        <v>80</v>
      </c>
      <c r="D26" s="37" t="s">
        <v>192</v>
      </c>
      <c r="E26" s="38">
        <v>0.0117</v>
      </c>
      <c r="F26" s="39">
        <v>0.231</v>
      </c>
      <c r="G26" s="40" t="s">
        <v>193</v>
      </c>
      <c r="H26" s="41">
        <v>0.003906</v>
      </c>
      <c r="I26" s="41">
        <v>0.0337</v>
      </c>
      <c r="J26" s="37" t="s">
        <v>194</v>
      </c>
      <c r="K26" s="38">
        <v>0.0156</v>
      </c>
      <c r="L26" s="39">
        <v>0.3393</v>
      </c>
      <c r="M26" s="40" t="s">
        <v>195</v>
      </c>
      <c r="N26" s="41">
        <v>0.015625</v>
      </c>
      <c r="O26" s="41">
        <v>0.0355</v>
      </c>
      <c r="P26" s="37" t="s">
        <v>196</v>
      </c>
      <c r="Q26" s="38">
        <v>0.1943</v>
      </c>
      <c r="R26" s="39">
        <v>0.3009</v>
      </c>
      <c r="S26" s="40" t="s">
        <v>197</v>
      </c>
      <c r="T26" s="41">
        <v>0.040039</v>
      </c>
      <c r="U26" s="41">
        <v>0.0365</v>
      </c>
      <c r="V26" s="37" t="s">
        <v>198</v>
      </c>
      <c r="W26" s="38">
        <v>0.3555</v>
      </c>
      <c r="X26" s="39">
        <v>0.2629</v>
      </c>
      <c r="Y26" s="40" t="s">
        <v>199</v>
      </c>
      <c r="Z26" s="41">
        <v>0.06543</v>
      </c>
      <c r="AA26" s="41">
        <v>0.037</v>
      </c>
    </row>
    <row r="27" ht="15.75" customHeight="1">
      <c r="A27" s="36">
        <f t="shared" si="1"/>
        <v>22</v>
      </c>
      <c r="B27" s="17" t="s">
        <v>53</v>
      </c>
      <c r="C27" s="17" t="s">
        <v>11</v>
      </c>
      <c r="D27" s="37" t="s">
        <v>200</v>
      </c>
      <c r="E27" s="38">
        <v>0.4805</v>
      </c>
      <c r="F27" s="39">
        <v>0.5794</v>
      </c>
      <c r="G27" s="40" t="s">
        <v>201</v>
      </c>
      <c r="H27" s="41">
        <v>0.472656</v>
      </c>
      <c r="I27" s="41">
        <v>1.1967</v>
      </c>
      <c r="J27" s="37" t="s">
        <v>202</v>
      </c>
      <c r="K27" s="38">
        <v>1.0186</v>
      </c>
      <c r="L27" s="39">
        <v>0.8096</v>
      </c>
      <c r="M27" s="40" t="s">
        <v>203</v>
      </c>
      <c r="N27" s="41">
        <v>0.953125</v>
      </c>
      <c r="O27" s="41">
        <v>1.9723</v>
      </c>
      <c r="P27" s="37" t="s">
        <v>204</v>
      </c>
      <c r="Q27" s="38">
        <v>1.5146</v>
      </c>
      <c r="R27" s="39">
        <v>0.4785</v>
      </c>
      <c r="S27" s="40" t="s">
        <v>205</v>
      </c>
      <c r="T27" s="41">
        <v>0.984375</v>
      </c>
      <c r="U27" s="41">
        <v>3.7667</v>
      </c>
      <c r="V27" s="37" t="s">
        <v>206</v>
      </c>
      <c r="W27" s="38">
        <v>3.2578</v>
      </c>
      <c r="X27" s="39">
        <v>0.4385</v>
      </c>
      <c r="Y27" s="40" t="s">
        <v>207</v>
      </c>
      <c r="Z27" s="41">
        <v>1.464844</v>
      </c>
      <c r="AA27" s="41">
        <v>13.9124</v>
      </c>
    </row>
    <row r="28" ht="15.75" customHeight="1">
      <c r="A28" s="36">
        <f t="shared" si="1"/>
        <v>23</v>
      </c>
      <c r="B28" s="17" t="s">
        <v>53</v>
      </c>
      <c r="C28" s="17" t="s">
        <v>35</v>
      </c>
      <c r="D28" s="37" t="s">
        <v>208</v>
      </c>
      <c r="E28" s="38">
        <v>0.0195</v>
      </c>
      <c r="F28" s="39">
        <v>0.4256</v>
      </c>
      <c r="G28" s="40" t="s">
        <v>209</v>
      </c>
      <c r="H28" s="41">
        <v>0.004883</v>
      </c>
      <c r="I28" s="41">
        <v>2.2087</v>
      </c>
      <c r="J28" s="37" t="s">
        <v>210</v>
      </c>
      <c r="K28" s="38">
        <v>0.5166</v>
      </c>
      <c r="L28" s="39">
        <v>0.5776</v>
      </c>
      <c r="M28" s="40" t="s">
        <v>211</v>
      </c>
      <c r="N28" s="41">
        <v>0.024414</v>
      </c>
      <c r="O28" s="41">
        <v>2.6288</v>
      </c>
      <c r="P28" s="37" t="s">
        <v>212</v>
      </c>
      <c r="Q28" s="38">
        <v>1.0586</v>
      </c>
      <c r="R28" s="39">
        <v>0.4142</v>
      </c>
      <c r="S28" s="40" t="s">
        <v>213</v>
      </c>
      <c r="T28" s="41">
        <v>0.051758</v>
      </c>
      <c r="U28" s="41">
        <v>4.293</v>
      </c>
      <c r="V28" s="37" t="s">
        <v>214</v>
      </c>
      <c r="W28" s="38">
        <v>1.5635</v>
      </c>
      <c r="X28" s="39">
        <v>0.4678</v>
      </c>
      <c r="Y28" s="40" t="s">
        <v>215</v>
      </c>
      <c r="Z28" s="41">
        <v>0.558594</v>
      </c>
      <c r="AA28" s="41">
        <v>6.4775</v>
      </c>
    </row>
    <row r="29" ht="15.75" customHeight="1">
      <c r="A29" s="36">
        <f t="shared" si="1"/>
        <v>24</v>
      </c>
      <c r="B29" s="17" t="s">
        <v>53</v>
      </c>
      <c r="C29" s="17" t="s">
        <v>44</v>
      </c>
      <c r="D29" s="37" t="s">
        <v>216</v>
      </c>
      <c r="E29" s="38">
        <v>0.0068</v>
      </c>
      <c r="F29" s="39">
        <v>0.3584</v>
      </c>
      <c r="G29" s="40" t="s">
        <v>217</v>
      </c>
      <c r="H29" s="41">
        <v>0.004883</v>
      </c>
      <c r="I29" s="41">
        <v>1.9686</v>
      </c>
      <c r="J29" s="37" t="s">
        <v>218</v>
      </c>
      <c r="K29" s="38">
        <v>0.2617</v>
      </c>
      <c r="L29" s="39">
        <v>0.5941</v>
      </c>
      <c r="M29" s="40" t="s">
        <v>219</v>
      </c>
      <c r="N29" s="41">
        <v>0.011719</v>
      </c>
      <c r="O29" s="41">
        <v>2.726</v>
      </c>
      <c r="P29" s="37" t="s">
        <v>220</v>
      </c>
      <c r="Q29" s="38">
        <v>0.4844</v>
      </c>
      <c r="R29" s="39">
        <v>0.3265</v>
      </c>
      <c r="S29" s="40" t="s">
        <v>221</v>
      </c>
      <c r="T29" s="41">
        <v>0.023438</v>
      </c>
      <c r="U29" s="41">
        <v>4.2989</v>
      </c>
      <c r="V29" s="37" t="s">
        <v>222</v>
      </c>
      <c r="W29" s="38">
        <v>0.6523</v>
      </c>
      <c r="X29" s="39">
        <v>0.4058</v>
      </c>
      <c r="Y29" s="40" t="s">
        <v>223</v>
      </c>
      <c r="Z29" s="41">
        <v>0.035156</v>
      </c>
      <c r="AA29" s="41">
        <v>6.2817</v>
      </c>
    </row>
    <row r="30" ht="15.75" customHeight="1">
      <c r="A30" s="36">
        <f t="shared" si="1"/>
        <v>25</v>
      </c>
      <c r="B30" s="17" t="s">
        <v>53</v>
      </c>
      <c r="C30" s="17" t="s">
        <v>53</v>
      </c>
      <c r="D30" s="37" t="s">
        <v>224</v>
      </c>
      <c r="E30" s="38">
        <v>0.0117</v>
      </c>
      <c r="F30" s="39">
        <v>0.2958</v>
      </c>
      <c r="G30" s="40" t="s">
        <v>225</v>
      </c>
      <c r="H30" s="41">
        <v>0.011719</v>
      </c>
      <c r="I30" s="41">
        <v>0.9124</v>
      </c>
      <c r="J30" s="37" t="s">
        <v>226</v>
      </c>
      <c r="K30" s="38">
        <v>0.0234</v>
      </c>
      <c r="L30" s="39">
        <v>0.5823</v>
      </c>
      <c r="M30" s="40" t="s">
        <v>227</v>
      </c>
      <c r="N30" s="41">
        <v>0.023438</v>
      </c>
      <c r="O30" s="41">
        <v>1.0904</v>
      </c>
      <c r="P30" s="37" t="s">
        <v>228</v>
      </c>
      <c r="Q30" s="38">
        <v>0.3594</v>
      </c>
      <c r="R30" s="39">
        <v>0.3629</v>
      </c>
      <c r="S30" s="40" t="s">
        <v>229</v>
      </c>
      <c r="T30" s="41">
        <v>0.050781</v>
      </c>
      <c r="U30" s="41">
        <v>1.5116</v>
      </c>
      <c r="V30" s="37" t="s">
        <v>230</v>
      </c>
      <c r="W30" s="38">
        <v>0.8604</v>
      </c>
      <c r="X30" s="39">
        <v>0.4366</v>
      </c>
      <c r="Y30" s="40" t="s">
        <v>231</v>
      </c>
      <c r="Z30" s="41">
        <v>0.28125</v>
      </c>
      <c r="AA30" s="41">
        <v>1.8664</v>
      </c>
    </row>
    <row r="31" ht="15.75" customHeight="1">
      <c r="A31" s="36">
        <f t="shared" si="1"/>
        <v>26</v>
      </c>
      <c r="B31" s="17" t="s">
        <v>53</v>
      </c>
      <c r="C31" s="17" t="s">
        <v>62</v>
      </c>
      <c r="D31" s="37" t="s">
        <v>232</v>
      </c>
      <c r="E31" s="38">
        <v>0.0273</v>
      </c>
      <c r="F31" s="39">
        <v>0.2329</v>
      </c>
      <c r="G31" s="40" t="s">
        <v>233</v>
      </c>
      <c r="H31" s="41">
        <v>0.019531</v>
      </c>
      <c r="I31" s="41">
        <v>0.5049</v>
      </c>
      <c r="J31" s="37" t="s">
        <v>234</v>
      </c>
      <c r="K31" s="38">
        <v>0.5625</v>
      </c>
      <c r="L31" s="39">
        <v>0.3868</v>
      </c>
      <c r="M31" s="40" t="s">
        <v>235</v>
      </c>
      <c r="N31" s="41">
        <v>0.046875</v>
      </c>
      <c r="O31" s="41">
        <v>0.5195</v>
      </c>
      <c r="P31" s="37" t="s">
        <v>236</v>
      </c>
      <c r="Q31" s="38">
        <v>0.6289</v>
      </c>
      <c r="R31" s="39">
        <v>0.2981</v>
      </c>
      <c r="S31" s="40" t="s">
        <v>237</v>
      </c>
      <c r="T31" s="41">
        <v>0.15625</v>
      </c>
      <c r="U31" s="41">
        <v>0.7135</v>
      </c>
      <c r="V31" s="37" t="s">
        <v>238</v>
      </c>
      <c r="W31" s="38">
        <v>0.6953</v>
      </c>
      <c r="X31" s="39">
        <v>0.3467</v>
      </c>
      <c r="Y31" s="40" t="s">
        <v>239</v>
      </c>
      <c r="Z31" s="41">
        <v>0.269531</v>
      </c>
      <c r="AA31" s="41">
        <v>0.6802</v>
      </c>
    </row>
    <row r="32" ht="15.75" customHeight="1">
      <c r="A32" s="36">
        <f t="shared" si="1"/>
        <v>27</v>
      </c>
      <c r="B32" s="17" t="s">
        <v>53</v>
      </c>
      <c r="C32" s="17" t="s">
        <v>71</v>
      </c>
      <c r="D32" s="37" t="s">
        <v>240</v>
      </c>
      <c r="E32" s="38">
        <v>0.0244</v>
      </c>
      <c r="F32" s="39">
        <v>0.1639</v>
      </c>
      <c r="G32" s="40" t="s">
        <v>241</v>
      </c>
      <c r="H32" s="41">
        <v>0.015625</v>
      </c>
      <c r="I32" s="41">
        <v>0.1467</v>
      </c>
      <c r="J32" s="37" t="s">
        <v>242</v>
      </c>
      <c r="K32" s="38">
        <v>0.3281</v>
      </c>
      <c r="L32" s="39">
        <v>0.2551</v>
      </c>
      <c r="M32" s="40" t="s">
        <v>243</v>
      </c>
      <c r="N32" s="41">
        <v>0.040039</v>
      </c>
      <c r="O32" s="41">
        <v>0.1655</v>
      </c>
      <c r="P32" s="37" t="s">
        <v>244</v>
      </c>
      <c r="Q32" s="38">
        <v>0.1143</v>
      </c>
      <c r="R32" s="39">
        <v>0.244</v>
      </c>
      <c r="S32" s="40" t="s">
        <v>245</v>
      </c>
      <c r="T32" s="41">
        <v>0.114258</v>
      </c>
      <c r="U32" s="41">
        <v>0.1498</v>
      </c>
      <c r="V32" s="37" t="s">
        <v>246</v>
      </c>
      <c r="W32" s="38">
        <v>0.3447</v>
      </c>
      <c r="X32" s="39">
        <v>0.2026</v>
      </c>
      <c r="Y32" s="40" t="s">
        <v>247</v>
      </c>
      <c r="Z32" s="41">
        <v>0.188477</v>
      </c>
      <c r="AA32" s="41">
        <v>0.3005</v>
      </c>
    </row>
    <row r="33" ht="15.75" customHeight="1">
      <c r="A33" s="36">
        <f t="shared" si="1"/>
        <v>28</v>
      </c>
      <c r="B33" s="17" t="s">
        <v>53</v>
      </c>
      <c r="C33" s="17" t="s">
        <v>80</v>
      </c>
      <c r="D33" s="37" t="s">
        <v>248</v>
      </c>
      <c r="E33" s="38">
        <v>0.0117</v>
      </c>
      <c r="F33" s="39">
        <v>0.1464</v>
      </c>
      <c r="G33" s="40" t="s">
        <v>249</v>
      </c>
      <c r="H33" s="41">
        <v>0.003906</v>
      </c>
      <c r="I33" s="41">
        <v>0.1395</v>
      </c>
      <c r="J33" s="37" t="s">
        <v>250</v>
      </c>
      <c r="K33" s="38">
        <v>0.0469</v>
      </c>
      <c r="L33" s="39">
        <v>0.3482</v>
      </c>
      <c r="M33" s="40" t="s">
        <v>251</v>
      </c>
      <c r="N33" s="41">
        <v>0.015625</v>
      </c>
      <c r="O33" s="41">
        <v>0.1181</v>
      </c>
      <c r="P33" s="37" t="s">
        <v>252</v>
      </c>
      <c r="Q33" s="38">
        <v>0.1768</v>
      </c>
      <c r="R33" s="39">
        <v>0.2811</v>
      </c>
      <c r="S33" s="40" t="s">
        <v>253</v>
      </c>
      <c r="T33" s="41">
        <v>0.040039</v>
      </c>
      <c r="U33" s="41">
        <v>0.125</v>
      </c>
      <c r="V33" s="37" t="s">
        <v>254</v>
      </c>
      <c r="W33" s="38">
        <v>0.3145</v>
      </c>
      <c r="X33" s="39">
        <v>0.225</v>
      </c>
      <c r="Y33" s="40" t="s">
        <v>255</v>
      </c>
      <c r="Z33" s="41">
        <v>0.066406</v>
      </c>
      <c r="AA33" s="41">
        <v>0.1255</v>
      </c>
    </row>
    <row r="34" ht="15.75" customHeight="1">
      <c r="A34" s="36">
        <f t="shared" si="1"/>
        <v>29</v>
      </c>
      <c r="B34" s="17" t="s">
        <v>62</v>
      </c>
      <c r="C34" s="17" t="s">
        <v>11</v>
      </c>
      <c r="D34" s="37" t="s">
        <v>256</v>
      </c>
      <c r="E34" s="38">
        <v>0.4951</v>
      </c>
      <c r="F34" s="39">
        <v>0.3619</v>
      </c>
      <c r="G34" s="40" t="s">
        <v>257</v>
      </c>
      <c r="H34" s="41">
        <v>0.480469</v>
      </c>
      <c r="I34" s="41">
        <v>4.2864</v>
      </c>
      <c r="J34" s="37" t="s">
        <v>258</v>
      </c>
      <c r="K34" s="38">
        <v>2.2246</v>
      </c>
      <c r="L34" s="39">
        <v>0.5867</v>
      </c>
      <c r="M34" s="40" t="s">
        <v>259</v>
      </c>
      <c r="N34" s="41">
        <v>0.964844</v>
      </c>
      <c r="O34" s="41">
        <v>5.7703</v>
      </c>
      <c r="P34" s="37" t="s">
        <v>260</v>
      </c>
      <c r="Q34" s="38">
        <v>2.5977</v>
      </c>
      <c r="R34" s="39">
        <v>0.4049</v>
      </c>
      <c r="S34" s="40" t="s">
        <v>261</v>
      </c>
      <c r="T34" s="41">
        <v>0.992188</v>
      </c>
      <c r="U34" s="41">
        <v>12.1024</v>
      </c>
      <c r="V34" s="37" t="s">
        <v>262</v>
      </c>
      <c r="W34" s="38">
        <v>2.8652</v>
      </c>
      <c r="X34" s="39">
        <v>0.4664</v>
      </c>
      <c r="Y34" s="40" t="s">
        <v>263</v>
      </c>
      <c r="Z34" s="41">
        <v>2.003906</v>
      </c>
      <c r="AA34" s="41">
        <v>14.6625</v>
      </c>
    </row>
    <row r="35" ht="15.75" customHeight="1">
      <c r="A35" s="36">
        <f t="shared" si="1"/>
        <v>30</v>
      </c>
      <c r="B35" s="17" t="s">
        <v>62</v>
      </c>
      <c r="C35" s="17" t="s">
        <v>35</v>
      </c>
      <c r="D35" s="37" t="s">
        <v>264</v>
      </c>
      <c r="E35" s="38">
        <v>0.0059</v>
      </c>
      <c r="F35" s="39">
        <v>0.2406</v>
      </c>
      <c r="G35" s="40" t="s">
        <v>265</v>
      </c>
      <c r="H35" s="41">
        <v>0.004883</v>
      </c>
      <c r="I35" s="41">
        <v>1.6023</v>
      </c>
      <c r="J35" s="37" t="s">
        <v>266</v>
      </c>
      <c r="K35" s="38">
        <v>0.7559</v>
      </c>
      <c r="L35" s="39">
        <v>0.5321</v>
      </c>
      <c r="M35" s="40" t="s">
        <v>267</v>
      </c>
      <c r="N35" s="41">
        <v>0.010742</v>
      </c>
      <c r="O35" s="41">
        <v>2.317</v>
      </c>
      <c r="P35" s="37" t="s">
        <v>268</v>
      </c>
      <c r="Q35" s="38">
        <v>1.6064</v>
      </c>
      <c r="R35" s="39">
        <v>0.3507</v>
      </c>
      <c r="S35" s="40" t="s">
        <v>269</v>
      </c>
      <c r="T35" s="41">
        <v>0.030273</v>
      </c>
      <c r="U35" s="41">
        <v>4.0911</v>
      </c>
      <c r="V35" s="37" t="s">
        <v>270</v>
      </c>
      <c r="W35" s="38">
        <v>0.7871</v>
      </c>
      <c r="X35" s="39">
        <v>0.3867</v>
      </c>
      <c r="Y35" s="40" t="s">
        <v>271</v>
      </c>
      <c r="Z35" s="41">
        <v>0.530273</v>
      </c>
      <c r="AA35" s="41">
        <v>5.7211</v>
      </c>
    </row>
    <row r="36" ht="15.75" customHeight="1">
      <c r="A36" s="36">
        <f t="shared" si="1"/>
        <v>31</v>
      </c>
      <c r="B36" s="17" t="s">
        <v>62</v>
      </c>
      <c r="C36" s="17" t="s">
        <v>44</v>
      </c>
      <c r="D36" s="37" t="s">
        <v>272</v>
      </c>
      <c r="E36" s="38">
        <v>0.0117</v>
      </c>
      <c r="F36" s="39">
        <v>0.2875</v>
      </c>
      <c r="G36" s="40" t="s">
        <v>273</v>
      </c>
      <c r="H36" s="41">
        <v>0.004883</v>
      </c>
      <c r="I36" s="41">
        <v>1.7952</v>
      </c>
      <c r="J36" s="37" t="s">
        <v>274</v>
      </c>
      <c r="K36" s="38">
        <v>0.5049</v>
      </c>
      <c r="L36" s="39">
        <v>0.4731</v>
      </c>
      <c r="M36" s="40" t="s">
        <v>275</v>
      </c>
      <c r="N36" s="41">
        <v>0.016602</v>
      </c>
      <c r="O36" s="41">
        <v>2.2829</v>
      </c>
      <c r="P36" s="37" t="s">
        <v>276</v>
      </c>
      <c r="Q36" s="38">
        <v>0.5205</v>
      </c>
      <c r="R36" s="39">
        <v>0.3431</v>
      </c>
      <c r="S36" s="40" t="s">
        <v>277</v>
      </c>
      <c r="T36" s="41">
        <v>0.02832</v>
      </c>
      <c r="U36" s="41">
        <v>3.9839</v>
      </c>
      <c r="V36" s="37" t="s">
        <v>278</v>
      </c>
      <c r="W36" s="38">
        <v>0.7773</v>
      </c>
      <c r="X36" s="39">
        <v>0.3961</v>
      </c>
      <c r="Y36" s="40" t="s">
        <v>279</v>
      </c>
      <c r="Z36" s="41">
        <v>0.043945</v>
      </c>
      <c r="AA36" s="41">
        <v>5.6817</v>
      </c>
    </row>
    <row r="37" ht="15.75" customHeight="1">
      <c r="A37" s="36">
        <f t="shared" si="1"/>
        <v>32</v>
      </c>
      <c r="B37" s="17" t="s">
        <v>62</v>
      </c>
      <c r="C37" s="17" t="s">
        <v>53</v>
      </c>
      <c r="D37" s="37" t="s">
        <v>280</v>
      </c>
      <c r="E37" s="38">
        <v>0.0117</v>
      </c>
      <c r="F37" s="39">
        <v>0.1993</v>
      </c>
      <c r="G37" s="40" t="s">
        <v>281</v>
      </c>
      <c r="H37" s="41">
        <v>0.011719</v>
      </c>
      <c r="I37" s="41">
        <v>0.8122</v>
      </c>
      <c r="J37" s="37" t="s">
        <v>282</v>
      </c>
      <c r="K37" s="38">
        <v>0.3867</v>
      </c>
      <c r="L37" s="39">
        <v>0.4395</v>
      </c>
      <c r="M37" s="40" t="s">
        <v>283</v>
      </c>
      <c r="N37" s="41">
        <v>0.023438</v>
      </c>
      <c r="O37" s="41">
        <v>1.0165</v>
      </c>
      <c r="P37" s="37" t="s">
        <v>284</v>
      </c>
      <c r="Q37" s="38">
        <v>0.5137</v>
      </c>
      <c r="R37" s="39">
        <v>0.2296</v>
      </c>
      <c r="S37" s="40" t="s">
        <v>285</v>
      </c>
      <c r="T37" s="41">
        <v>0.042969</v>
      </c>
      <c r="U37" s="41">
        <v>1.3881</v>
      </c>
      <c r="V37" s="37" t="s">
        <v>286</v>
      </c>
      <c r="W37" s="38">
        <v>0.6055</v>
      </c>
      <c r="X37" s="39">
        <v>0.3463</v>
      </c>
      <c r="Y37" s="40" t="s">
        <v>287</v>
      </c>
      <c r="Z37" s="41">
        <v>0.287109</v>
      </c>
      <c r="AA37" s="41">
        <v>1.7863</v>
      </c>
    </row>
    <row r="38" ht="15.75" customHeight="1">
      <c r="A38" s="36">
        <f t="shared" si="1"/>
        <v>33</v>
      </c>
      <c r="B38" s="17" t="s">
        <v>62</v>
      </c>
      <c r="C38" s="17" t="s">
        <v>62</v>
      </c>
      <c r="D38" s="37" t="s">
        <v>288</v>
      </c>
      <c r="E38" s="38">
        <v>0.1055</v>
      </c>
      <c r="F38" s="39">
        <v>0.1436</v>
      </c>
      <c r="G38" s="40" t="s">
        <v>289</v>
      </c>
      <c r="H38" s="41">
        <v>0.005859</v>
      </c>
      <c r="I38" s="41">
        <v>0.4556</v>
      </c>
      <c r="J38" s="37" t="s">
        <v>290</v>
      </c>
      <c r="K38" s="38">
        <v>0.5078</v>
      </c>
      <c r="L38" s="39">
        <v>0.3143</v>
      </c>
      <c r="M38" s="40" t="s">
        <v>291</v>
      </c>
      <c r="N38" s="41">
        <v>0.111328</v>
      </c>
      <c r="O38" s="41">
        <v>0.4245</v>
      </c>
      <c r="P38" s="37" t="s">
        <v>292</v>
      </c>
      <c r="Q38" s="38">
        <v>0.541</v>
      </c>
      <c r="R38" s="39">
        <v>0.2228</v>
      </c>
      <c r="S38" s="40" t="s">
        <v>293</v>
      </c>
      <c r="T38" s="41">
        <v>0.220703</v>
      </c>
      <c r="U38" s="41">
        <v>0.4815</v>
      </c>
      <c r="V38" s="37" t="s">
        <v>294</v>
      </c>
      <c r="W38" s="38">
        <v>0.6084</v>
      </c>
      <c r="X38" s="39">
        <v>0.1957</v>
      </c>
      <c r="Y38" s="40" t="s">
        <v>295</v>
      </c>
      <c r="Z38" s="41">
        <v>0.333984</v>
      </c>
      <c r="AA38" s="41">
        <v>0.6904</v>
      </c>
    </row>
    <row r="39" ht="15.75" customHeight="1">
      <c r="A39" s="36">
        <f t="shared" si="1"/>
        <v>34</v>
      </c>
      <c r="B39" s="17" t="s">
        <v>62</v>
      </c>
      <c r="C39" s="17" t="s">
        <v>71</v>
      </c>
      <c r="D39" s="37" t="s">
        <v>296</v>
      </c>
      <c r="E39" s="38">
        <v>0.0371</v>
      </c>
      <c r="F39" s="39">
        <v>0.0976</v>
      </c>
      <c r="G39" s="40" t="s">
        <v>297</v>
      </c>
      <c r="H39" s="41">
        <v>0.015625</v>
      </c>
      <c r="I39" s="41">
        <v>0.0891</v>
      </c>
      <c r="J39" s="37" t="s">
        <v>298</v>
      </c>
      <c r="K39" s="38">
        <v>0.0527</v>
      </c>
      <c r="L39" s="39">
        <v>0.2052</v>
      </c>
      <c r="M39" s="40" t="s">
        <v>299</v>
      </c>
      <c r="N39" s="41">
        <v>0.052734</v>
      </c>
      <c r="O39" s="41">
        <v>0.098</v>
      </c>
      <c r="P39" s="37" t="s">
        <v>300</v>
      </c>
      <c r="Q39" s="38">
        <v>0.1953</v>
      </c>
      <c r="R39" s="39">
        <v>0.166</v>
      </c>
      <c r="S39" s="40" t="s">
        <v>301</v>
      </c>
      <c r="T39" s="41">
        <v>0.103516</v>
      </c>
      <c r="U39" s="41">
        <v>0.1031</v>
      </c>
      <c r="V39" s="37" t="s">
        <v>302</v>
      </c>
      <c r="W39" s="38">
        <v>0.3379</v>
      </c>
      <c r="X39" s="39">
        <v>0.158</v>
      </c>
      <c r="Y39" s="40" t="s">
        <v>303</v>
      </c>
      <c r="Z39" s="41">
        <v>0.177734</v>
      </c>
      <c r="AA39" s="41">
        <v>0.1138</v>
      </c>
    </row>
    <row r="40" ht="15.75" customHeight="1">
      <c r="A40" s="36">
        <f t="shared" si="1"/>
        <v>35</v>
      </c>
      <c r="B40" s="17" t="s">
        <v>62</v>
      </c>
      <c r="C40" s="17" t="s">
        <v>80</v>
      </c>
      <c r="D40" s="37" t="s">
        <v>304</v>
      </c>
      <c r="E40" s="38">
        <v>0.0254</v>
      </c>
      <c r="F40" s="39">
        <v>0.096</v>
      </c>
      <c r="G40" s="40" t="s">
        <v>304</v>
      </c>
      <c r="H40" s="41">
        <v>0.019531</v>
      </c>
      <c r="I40" s="41">
        <v>0.1232</v>
      </c>
      <c r="J40" s="37" t="s">
        <v>305</v>
      </c>
      <c r="K40" s="38">
        <v>0.0869</v>
      </c>
      <c r="L40" s="39">
        <v>0.2119</v>
      </c>
      <c r="M40" s="40" t="s">
        <v>306</v>
      </c>
      <c r="N40" s="41">
        <v>0.044922</v>
      </c>
      <c r="O40" s="41">
        <v>0.0954</v>
      </c>
      <c r="P40" s="37" t="s">
        <v>307</v>
      </c>
      <c r="Q40" s="38">
        <v>0.3223</v>
      </c>
      <c r="R40" s="39">
        <v>0.1729</v>
      </c>
      <c r="S40" s="40" t="s">
        <v>308</v>
      </c>
      <c r="T40" s="41">
        <v>0.071289</v>
      </c>
      <c r="U40" s="41">
        <v>0.1347</v>
      </c>
      <c r="V40" s="37" t="s">
        <v>309</v>
      </c>
      <c r="W40" s="38">
        <v>0.334</v>
      </c>
      <c r="X40" s="39">
        <v>0.1531</v>
      </c>
      <c r="Y40" s="40" t="s">
        <v>310</v>
      </c>
      <c r="Z40" s="41">
        <v>0.114258</v>
      </c>
      <c r="AA40" s="41">
        <v>0.1279</v>
      </c>
    </row>
    <row r="41" ht="15.75" customHeight="1">
      <c r="A41" s="36">
        <f t="shared" si="1"/>
        <v>36</v>
      </c>
      <c r="B41" s="17" t="s">
        <v>71</v>
      </c>
      <c r="C41" s="17" t="s">
        <v>11</v>
      </c>
      <c r="D41" s="37" t="s">
        <v>311</v>
      </c>
      <c r="E41" s="38">
        <v>0.4805</v>
      </c>
      <c r="F41" s="39">
        <v>0.202</v>
      </c>
      <c r="G41" s="40" t="s">
        <v>312</v>
      </c>
      <c r="H41" s="41">
        <v>0.472656</v>
      </c>
      <c r="I41" s="41">
        <v>3.3971</v>
      </c>
      <c r="J41" s="37" t="s">
        <v>313</v>
      </c>
      <c r="K41" s="38">
        <v>0.75</v>
      </c>
      <c r="L41" s="39">
        <v>0.3664</v>
      </c>
      <c r="M41" s="40" t="s">
        <v>314</v>
      </c>
      <c r="N41" s="41">
        <v>0.515625</v>
      </c>
      <c r="O41" s="41">
        <v>4.2559</v>
      </c>
      <c r="P41" s="37" t="s">
        <v>315</v>
      </c>
      <c r="Q41" s="38">
        <v>0.9805</v>
      </c>
      <c r="R41" s="39">
        <v>0.2195</v>
      </c>
      <c r="S41" s="40" t="s">
        <v>316</v>
      </c>
      <c r="T41" s="41">
        <v>0.953125</v>
      </c>
      <c r="U41" s="41">
        <v>10.875</v>
      </c>
      <c r="V41" s="37" t="s">
        <v>317</v>
      </c>
      <c r="W41" s="38">
        <v>2.0</v>
      </c>
      <c r="X41" s="39">
        <v>0.3933</v>
      </c>
      <c r="Y41" s="40" t="s">
        <v>318</v>
      </c>
      <c r="Z41" s="41">
        <v>1.203125</v>
      </c>
      <c r="AA41" s="41">
        <v>11.3214</v>
      </c>
    </row>
    <row r="42" ht="15.75" customHeight="1">
      <c r="A42" s="36">
        <f t="shared" si="1"/>
        <v>37</v>
      </c>
      <c r="B42" s="17" t="s">
        <v>71</v>
      </c>
      <c r="C42" s="17" t="s">
        <v>35</v>
      </c>
      <c r="D42" s="37" t="s">
        <v>319</v>
      </c>
      <c r="E42" s="38">
        <v>0.0195</v>
      </c>
      <c r="F42" s="39">
        <v>0.1519</v>
      </c>
      <c r="G42" s="40" t="s">
        <v>320</v>
      </c>
      <c r="H42" s="41">
        <v>0.004883</v>
      </c>
      <c r="I42" s="41">
        <v>1.5088</v>
      </c>
      <c r="J42" s="37" t="s">
        <v>321</v>
      </c>
      <c r="K42" s="38">
        <v>0.0127</v>
      </c>
      <c r="L42" s="39">
        <v>0.2655</v>
      </c>
      <c r="M42" s="40" t="s">
        <v>322</v>
      </c>
      <c r="N42" s="41">
        <v>0.012695</v>
      </c>
      <c r="O42" s="41">
        <v>1.7572</v>
      </c>
      <c r="P42" s="37" t="s">
        <v>323</v>
      </c>
      <c r="Q42" s="38">
        <v>0.4375</v>
      </c>
      <c r="R42" s="39">
        <v>0.2362</v>
      </c>
      <c r="S42" s="40" t="s">
        <v>324</v>
      </c>
      <c r="T42" s="41">
        <v>0.024414</v>
      </c>
      <c r="U42" s="41">
        <v>2.8621</v>
      </c>
      <c r="V42" s="37" t="s">
        <v>325</v>
      </c>
      <c r="W42" s="38">
        <v>0.2744</v>
      </c>
      <c r="X42" s="39">
        <v>0.3467</v>
      </c>
      <c r="Y42" s="40" t="s">
        <v>326</v>
      </c>
      <c r="Z42" s="41">
        <v>0.043945</v>
      </c>
      <c r="AA42" s="41">
        <v>4.2427</v>
      </c>
    </row>
    <row r="43" ht="15.75" customHeight="1">
      <c r="A43" s="36">
        <f t="shared" si="1"/>
        <v>38</v>
      </c>
      <c r="B43" s="17" t="s">
        <v>71</v>
      </c>
      <c r="C43" s="17" t="s">
        <v>44</v>
      </c>
      <c r="D43" s="37" t="s">
        <v>327</v>
      </c>
      <c r="E43" s="38">
        <v>0.0156</v>
      </c>
      <c r="F43" s="39">
        <v>0.159</v>
      </c>
      <c r="G43" s="40" t="s">
        <v>328</v>
      </c>
      <c r="H43" s="41">
        <v>0.004883</v>
      </c>
      <c r="I43" s="41">
        <v>1.2521</v>
      </c>
      <c r="J43" s="37" t="s">
        <v>329</v>
      </c>
      <c r="K43" s="38">
        <v>0.5049</v>
      </c>
      <c r="L43" s="39">
        <v>0.3022</v>
      </c>
      <c r="M43" s="40" t="s">
        <v>330</v>
      </c>
      <c r="N43" s="41">
        <v>0.020508</v>
      </c>
      <c r="O43" s="41">
        <v>1.7022</v>
      </c>
      <c r="P43" s="37" t="s">
        <v>331</v>
      </c>
      <c r="Q43" s="38">
        <v>0.6455</v>
      </c>
      <c r="R43" s="39">
        <v>0.1862</v>
      </c>
      <c r="S43" s="40" t="s">
        <v>332</v>
      </c>
      <c r="T43" s="41">
        <v>0.493164</v>
      </c>
      <c r="U43" s="41">
        <v>2.9708</v>
      </c>
      <c r="V43" s="37" t="s">
        <v>333</v>
      </c>
      <c r="W43" s="38">
        <v>0.8682</v>
      </c>
      <c r="X43" s="39">
        <v>0.4256</v>
      </c>
      <c r="Y43" s="40" t="s">
        <v>334</v>
      </c>
      <c r="Z43" s="41">
        <v>0.645508</v>
      </c>
      <c r="AA43" s="41">
        <v>4.2892</v>
      </c>
    </row>
    <row r="44" ht="15.75" customHeight="1">
      <c r="A44" s="36">
        <f t="shared" si="1"/>
        <v>39</v>
      </c>
      <c r="B44" s="17" t="s">
        <v>71</v>
      </c>
      <c r="C44" s="17" t="s">
        <v>53</v>
      </c>
      <c r="D44" s="37" t="s">
        <v>335</v>
      </c>
      <c r="E44" s="38">
        <v>0.0273</v>
      </c>
      <c r="F44" s="39">
        <v>0.1215</v>
      </c>
      <c r="G44" s="40" t="s">
        <v>335</v>
      </c>
      <c r="H44" s="41">
        <v>0.019531</v>
      </c>
      <c r="I44" s="41">
        <v>0.6095</v>
      </c>
      <c r="J44" s="37" t="s">
        <v>336</v>
      </c>
      <c r="K44" s="38">
        <v>0.0469</v>
      </c>
      <c r="L44" s="39">
        <v>0.2512</v>
      </c>
      <c r="M44" s="40" t="s">
        <v>337</v>
      </c>
      <c r="N44" s="41">
        <v>0.046875</v>
      </c>
      <c r="O44" s="41">
        <v>0.7855</v>
      </c>
      <c r="P44" s="37" t="s">
        <v>338</v>
      </c>
      <c r="Q44" s="38">
        <v>0.3965</v>
      </c>
      <c r="R44" s="39">
        <v>0.1802</v>
      </c>
      <c r="S44" s="40" t="s">
        <v>339</v>
      </c>
      <c r="T44" s="41">
        <v>0.25</v>
      </c>
      <c r="U44" s="41">
        <v>1.0005</v>
      </c>
      <c r="V44" s="37" t="s">
        <v>340</v>
      </c>
      <c r="W44" s="38">
        <v>0.3965</v>
      </c>
      <c r="X44" s="39">
        <v>0.392</v>
      </c>
      <c r="Y44" s="40" t="s">
        <v>341</v>
      </c>
      <c r="Z44" s="41">
        <v>0.277344</v>
      </c>
      <c r="AA44" s="41">
        <v>1.3047</v>
      </c>
    </row>
    <row r="45" ht="15.75" customHeight="1">
      <c r="A45" s="36">
        <f t="shared" si="1"/>
        <v>40</v>
      </c>
      <c r="B45" s="17" t="s">
        <v>71</v>
      </c>
      <c r="C45" s="17" t="s">
        <v>62</v>
      </c>
      <c r="D45" s="37" t="s">
        <v>342</v>
      </c>
      <c r="E45" s="38">
        <v>0.0273</v>
      </c>
      <c r="F45" s="39">
        <v>0.0914</v>
      </c>
      <c r="G45" s="40" t="s">
        <v>343</v>
      </c>
      <c r="H45" s="41">
        <v>0.019531</v>
      </c>
      <c r="I45" s="41">
        <v>0.3012</v>
      </c>
      <c r="J45" s="37" t="s">
        <v>344</v>
      </c>
      <c r="K45" s="38">
        <v>0.2969</v>
      </c>
      <c r="L45" s="39">
        <v>0.1623</v>
      </c>
      <c r="M45" s="40" t="s">
        <v>345</v>
      </c>
      <c r="N45" s="41">
        <v>0.046875</v>
      </c>
      <c r="O45" s="41">
        <v>0.3282</v>
      </c>
      <c r="P45" s="37" t="s">
        <v>346</v>
      </c>
      <c r="Q45" s="38">
        <v>0.332</v>
      </c>
      <c r="R45" s="39">
        <v>0.1157</v>
      </c>
      <c r="S45" s="40" t="s">
        <v>347</v>
      </c>
      <c r="T45" s="41">
        <v>0.113281</v>
      </c>
      <c r="U45" s="41">
        <v>0.4366</v>
      </c>
      <c r="V45" s="37" t="s">
        <v>348</v>
      </c>
      <c r="W45" s="38">
        <v>0.3477</v>
      </c>
      <c r="X45" s="39">
        <v>0.1747</v>
      </c>
      <c r="Y45" s="40" t="s">
        <v>349</v>
      </c>
      <c r="Z45" s="41">
        <v>0.140625</v>
      </c>
      <c r="AA45" s="41">
        <v>0.5018</v>
      </c>
    </row>
    <row r="46" ht="15.75" customHeight="1">
      <c r="A46" s="36">
        <f t="shared" si="1"/>
        <v>41</v>
      </c>
      <c r="B46" s="17" t="s">
        <v>71</v>
      </c>
      <c r="C46" s="17" t="s">
        <v>71</v>
      </c>
      <c r="D46" s="37" t="s">
        <v>350</v>
      </c>
      <c r="E46" s="38">
        <v>0.0508</v>
      </c>
      <c r="F46" s="39">
        <v>0.0718</v>
      </c>
      <c r="G46" s="40" t="s">
        <v>351</v>
      </c>
      <c r="H46" s="41">
        <v>0.015625</v>
      </c>
      <c r="I46" s="41">
        <v>0.086</v>
      </c>
      <c r="J46" s="37" t="s">
        <v>352</v>
      </c>
      <c r="K46" s="38">
        <v>0.0938</v>
      </c>
      <c r="L46" s="39">
        <v>0.1291</v>
      </c>
      <c r="M46" s="40" t="s">
        <v>353</v>
      </c>
      <c r="N46" s="41">
        <v>0.066406</v>
      </c>
      <c r="O46" s="41">
        <v>0.0765</v>
      </c>
      <c r="P46" s="37" t="s">
        <v>354</v>
      </c>
      <c r="Q46" s="38">
        <v>0.2715</v>
      </c>
      <c r="R46" s="39">
        <v>0.075</v>
      </c>
      <c r="S46" s="40" t="s">
        <v>355</v>
      </c>
      <c r="T46" s="41">
        <v>0.128906</v>
      </c>
      <c r="U46" s="41">
        <v>0.0933</v>
      </c>
      <c r="V46" s="37" t="s">
        <v>356</v>
      </c>
      <c r="W46" s="38">
        <v>0.2383</v>
      </c>
      <c r="X46" s="39">
        <v>0.1559</v>
      </c>
      <c r="Y46" s="40" t="s">
        <v>357</v>
      </c>
      <c r="Z46" s="41">
        <v>0.179688</v>
      </c>
      <c r="AA46" s="41">
        <v>0.0852</v>
      </c>
    </row>
    <row r="47" ht="15.75" customHeight="1">
      <c r="A47" s="36">
        <f t="shared" si="1"/>
        <v>42</v>
      </c>
      <c r="B47" s="17" t="s">
        <v>71</v>
      </c>
      <c r="C47" s="17" t="s">
        <v>80</v>
      </c>
      <c r="D47" s="37" t="s">
        <v>358</v>
      </c>
      <c r="E47" s="38">
        <v>0.0117</v>
      </c>
      <c r="F47" s="39">
        <v>0.0586</v>
      </c>
      <c r="G47" s="40" t="s">
        <v>359</v>
      </c>
      <c r="H47" s="41">
        <v>0.003906</v>
      </c>
      <c r="I47" s="41">
        <v>0.0731</v>
      </c>
      <c r="J47" s="37" t="s">
        <v>360</v>
      </c>
      <c r="K47" s="38">
        <v>0.0234</v>
      </c>
      <c r="L47" s="39">
        <v>0.117</v>
      </c>
      <c r="M47" s="40" t="s">
        <v>361</v>
      </c>
      <c r="N47" s="41">
        <v>0.015625</v>
      </c>
      <c r="O47" s="41">
        <v>0.0759</v>
      </c>
      <c r="P47" s="37" t="s">
        <v>362</v>
      </c>
      <c r="Q47" s="38">
        <v>0.1768</v>
      </c>
      <c r="R47" s="39">
        <v>0.0976</v>
      </c>
      <c r="S47" s="40" t="s">
        <v>363</v>
      </c>
      <c r="T47" s="41">
        <v>0.035156</v>
      </c>
      <c r="U47" s="41">
        <v>0.0836</v>
      </c>
      <c r="V47" s="37" t="s">
        <v>364</v>
      </c>
      <c r="W47" s="38">
        <v>0.1807</v>
      </c>
      <c r="X47" s="39">
        <v>0.1798</v>
      </c>
      <c r="Y47" s="40" t="s">
        <v>365</v>
      </c>
      <c r="Z47" s="41">
        <v>0.061523</v>
      </c>
      <c r="AA47" s="41">
        <v>0.0956</v>
      </c>
    </row>
    <row r="48" ht="15.75" customHeight="1">
      <c r="A48" s="36">
        <f t="shared" si="1"/>
        <v>43</v>
      </c>
      <c r="B48" s="17" t="s">
        <v>80</v>
      </c>
      <c r="C48" s="17" t="s">
        <v>11</v>
      </c>
      <c r="D48" s="37" t="s">
        <v>366</v>
      </c>
      <c r="E48" s="38">
        <v>0.5</v>
      </c>
      <c r="F48" s="39">
        <v>0.2043</v>
      </c>
      <c r="G48" s="40" t="s">
        <v>367</v>
      </c>
      <c r="H48" s="41">
        <v>0.484375</v>
      </c>
      <c r="I48" s="41">
        <v>3.3197</v>
      </c>
      <c r="J48" s="37" t="s">
        <v>368</v>
      </c>
      <c r="K48" s="38">
        <v>1.4746</v>
      </c>
      <c r="L48" s="39">
        <v>0.454</v>
      </c>
      <c r="M48" s="40" t="s">
        <v>369</v>
      </c>
      <c r="N48" s="41">
        <v>0.494141</v>
      </c>
      <c r="O48" s="41">
        <v>4.245</v>
      </c>
      <c r="P48" s="37" t="s">
        <v>370</v>
      </c>
      <c r="Q48" s="38">
        <v>2.0078</v>
      </c>
      <c r="R48" s="39">
        <v>0.2393</v>
      </c>
      <c r="S48" s="40" t="s">
        <v>371</v>
      </c>
      <c r="T48" s="41">
        <v>0.994141</v>
      </c>
      <c r="U48" s="41">
        <v>9.4492</v>
      </c>
      <c r="V48" s="37" t="s">
        <v>372</v>
      </c>
      <c r="W48" s="38">
        <v>2.1162</v>
      </c>
      <c r="X48" s="39">
        <v>0.5122</v>
      </c>
      <c r="Y48" s="40" t="s">
        <v>373</v>
      </c>
      <c r="Z48" s="41">
        <v>1.942383</v>
      </c>
      <c r="AA48" s="41">
        <v>10.5346</v>
      </c>
    </row>
    <row r="49" ht="15.75" customHeight="1">
      <c r="A49" s="36">
        <f t="shared" si="1"/>
        <v>44</v>
      </c>
      <c r="B49" s="17" t="s">
        <v>80</v>
      </c>
      <c r="C49" s="17" t="s">
        <v>35</v>
      </c>
      <c r="D49" s="37" t="s">
        <v>374</v>
      </c>
      <c r="E49" s="38">
        <v>0.5</v>
      </c>
      <c r="F49" s="39">
        <v>0.1982</v>
      </c>
      <c r="G49" s="40" t="s">
        <v>375</v>
      </c>
      <c r="H49" s="41">
        <v>0.005859</v>
      </c>
      <c r="I49" s="41">
        <v>1.365</v>
      </c>
      <c r="J49" s="37" t="s">
        <v>376</v>
      </c>
      <c r="K49" s="38">
        <v>0.5176</v>
      </c>
      <c r="L49" s="39">
        <v>0.325</v>
      </c>
      <c r="M49" s="40" t="s">
        <v>377</v>
      </c>
      <c r="N49" s="41">
        <v>0.505859</v>
      </c>
      <c r="O49" s="41">
        <v>1.6155</v>
      </c>
      <c r="P49" s="37" t="s">
        <v>378</v>
      </c>
      <c r="Q49" s="38">
        <v>0.7676</v>
      </c>
      <c r="R49" s="39">
        <v>0.2165</v>
      </c>
      <c r="S49" s="40" t="s">
        <v>379</v>
      </c>
      <c r="T49" s="41">
        <v>0.762695</v>
      </c>
      <c r="U49" s="41">
        <v>2.9227</v>
      </c>
      <c r="V49" s="37" t="s">
        <v>380</v>
      </c>
      <c r="W49" s="38">
        <v>1.7939</v>
      </c>
      <c r="X49" s="39">
        <v>0.3723</v>
      </c>
      <c r="Y49" s="40" t="s">
        <v>381</v>
      </c>
      <c r="Z49" s="41">
        <v>1.024414</v>
      </c>
      <c r="AA49" s="41">
        <v>4.5339</v>
      </c>
    </row>
    <row r="50" ht="15.75" customHeight="1">
      <c r="A50" s="36">
        <f t="shared" si="1"/>
        <v>45</v>
      </c>
      <c r="B50" s="17" t="s">
        <v>80</v>
      </c>
      <c r="C50" s="17" t="s">
        <v>44</v>
      </c>
      <c r="D50" s="37" t="s">
        <v>382</v>
      </c>
      <c r="E50" s="38">
        <v>0.0117</v>
      </c>
      <c r="F50" s="39">
        <v>0.1605</v>
      </c>
      <c r="G50" s="40" t="s">
        <v>383</v>
      </c>
      <c r="H50" s="41">
        <v>0.006836</v>
      </c>
      <c r="I50" s="41">
        <v>1.2783</v>
      </c>
      <c r="J50" s="37" t="s">
        <v>384</v>
      </c>
      <c r="K50" s="38">
        <v>0.5117</v>
      </c>
      <c r="L50" s="39">
        <v>0.1994</v>
      </c>
      <c r="M50" s="40" t="s">
        <v>385</v>
      </c>
      <c r="N50" s="41">
        <v>0.018555</v>
      </c>
      <c r="O50" s="41">
        <v>1.667</v>
      </c>
      <c r="P50" s="37" t="s">
        <v>386</v>
      </c>
      <c r="Q50" s="38">
        <v>0.5059</v>
      </c>
      <c r="R50" s="39">
        <v>0.2204</v>
      </c>
      <c r="S50" s="40" t="s">
        <v>387</v>
      </c>
      <c r="T50" s="41">
        <v>0.030273</v>
      </c>
      <c r="U50" s="41">
        <v>2.7729</v>
      </c>
      <c r="V50" s="37" t="s">
        <v>388</v>
      </c>
      <c r="W50" s="38">
        <v>0.6279</v>
      </c>
      <c r="X50" s="39">
        <v>0.4529</v>
      </c>
      <c r="Y50" s="40" t="s">
        <v>389</v>
      </c>
      <c r="Z50" s="41">
        <v>0.280273</v>
      </c>
      <c r="AA50" s="41">
        <v>4.4196</v>
      </c>
    </row>
    <row r="51" ht="15.75" customHeight="1">
      <c r="A51" s="36">
        <f t="shared" si="1"/>
        <v>46</v>
      </c>
      <c r="B51" s="17" t="s">
        <v>80</v>
      </c>
      <c r="C51" s="17" t="s">
        <v>53</v>
      </c>
      <c r="D51" s="37" t="s">
        <v>390</v>
      </c>
      <c r="E51" s="38">
        <v>0.0117</v>
      </c>
      <c r="F51" s="39">
        <v>0.1154</v>
      </c>
      <c r="G51" s="40" t="s">
        <v>391</v>
      </c>
      <c r="H51" s="41">
        <v>0.011719</v>
      </c>
      <c r="I51" s="41">
        <v>0.7042</v>
      </c>
      <c r="J51" s="37" t="s">
        <v>392</v>
      </c>
      <c r="K51" s="38">
        <v>0.3857</v>
      </c>
      <c r="L51" s="39">
        <v>0.2393</v>
      </c>
      <c r="M51" s="40" t="s">
        <v>393</v>
      </c>
      <c r="N51" s="41">
        <v>0.023438</v>
      </c>
      <c r="O51" s="41">
        <v>0.6771</v>
      </c>
      <c r="P51" s="37" t="s">
        <v>394</v>
      </c>
      <c r="Q51" s="38">
        <v>0.3936</v>
      </c>
      <c r="R51" s="39">
        <v>0.1483</v>
      </c>
      <c r="S51" s="40" t="s">
        <v>395</v>
      </c>
      <c r="T51" s="41">
        <v>0.136719</v>
      </c>
      <c r="U51" s="41">
        <v>1.0494</v>
      </c>
      <c r="V51" s="37" t="s">
        <v>396</v>
      </c>
      <c r="W51" s="38">
        <v>0.5381</v>
      </c>
      <c r="X51" s="39">
        <v>0.3891</v>
      </c>
      <c r="Y51" s="40" t="s">
        <v>397</v>
      </c>
      <c r="Z51" s="41">
        <v>0.148438</v>
      </c>
      <c r="AA51" s="41">
        <v>1.2697</v>
      </c>
    </row>
    <row r="52" ht="15.75" customHeight="1">
      <c r="A52" s="36">
        <f t="shared" si="1"/>
        <v>47</v>
      </c>
      <c r="B52" s="17" t="s">
        <v>80</v>
      </c>
      <c r="C52" s="17" t="s">
        <v>62</v>
      </c>
      <c r="D52" s="37" t="s">
        <v>398</v>
      </c>
      <c r="E52" s="38">
        <v>0.1133</v>
      </c>
      <c r="F52" s="39">
        <v>0.0995</v>
      </c>
      <c r="G52" s="40" t="s">
        <v>399</v>
      </c>
      <c r="H52" s="41">
        <v>0.005859</v>
      </c>
      <c r="I52" s="41">
        <v>0.277</v>
      </c>
      <c r="J52" s="37" t="s">
        <v>400</v>
      </c>
      <c r="K52" s="38">
        <v>0.2246</v>
      </c>
      <c r="L52" s="39">
        <v>0.2469</v>
      </c>
      <c r="M52" s="40" t="s">
        <v>401</v>
      </c>
      <c r="N52" s="41">
        <v>0.119141</v>
      </c>
      <c r="O52" s="41">
        <v>0.3382</v>
      </c>
      <c r="P52" s="37" t="s">
        <v>402</v>
      </c>
      <c r="Q52" s="38">
        <v>0.252</v>
      </c>
      <c r="R52" s="39">
        <v>0.1683</v>
      </c>
      <c r="S52" s="40" t="s">
        <v>403</v>
      </c>
      <c r="T52" s="41">
        <v>0.191406</v>
      </c>
      <c r="U52" s="41">
        <v>0.4109</v>
      </c>
      <c r="V52" s="37" t="s">
        <v>404</v>
      </c>
      <c r="W52" s="38">
        <v>0.3848</v>
      </c>
      <c r="X52" s="39">
        <v>0.2199</v>
      </c>
      <c r="Y52" s="40" t="s">
        <v>405</v>
      </c>
      <c r="Z52" s="41">
        <v>0.212891</v>
      </c>
      <c r="AA52" s="41">
        <v>0.3967</v>
      </c>
    </row>
    <row r="53" ht="15.75" customHeight="1">
      <c r="A53" s="36">
        <f t="shared" si="1"/>
        <v>48</v>
      </c>
      <c r="B53" s="17" t="s">
        <v>80</v>
      </c>
      <c r="C53" s="17" t="s">
        <v>71</v>
      </c>
      <c r="D53" s="37" t="s">
        <v>406</v>
      </c>
      <c r="E53" s="38">
        <v>0.0371</v>
      </c>
      <c r="F53" s="39">
        <v>0.0552</v>
      </c>
      <c r="G53" s="40" t="s">
        <v>407</v>
      </c>
      <c r="H53" s="41">
        <v>0.024414</v>
      </c>
      <c r="I53" s="41">
        <v>0.0711</v>
      </c>
      <c r="J53" s="37" t="s">
        <v>408</v>
      </c>
      <c r="K53" s="38">
        <v>0.1152</v>
      </c>
      <c r="L53" s="39">
        <v>0.092</v>
      </c>
      <c r="M53" s="40" t="s">
        <v>409</v>
      </c>
      <c r="N53" s="41">
        <v>0.061523</v>
      </c>
      <c r="O53" s="41">
        <v>0.0637</v>
      </c>
      <c r="P53" s="37" t="s">
        <v>410</v>
      </c>
      <c r="Q53" s="38">
        <v>0.1836</v>
      </c>
      <c r="R53" s="39">
        <v>0.0591</v>
      </c>
      <c r="S53" s="40" t="s">
        <v>411</v>
      </c>
      <c r="T53" s="41">
        <v>0.113281</v>
      </c>
      <c r="U53" s="41">
        <v>0.0764</v>
      </c>
      <c r="V53" s="37" t="s">
        <v>412</v>
      </c>
      <c r="W53" s="38">
        <v>0.1934</v>
      </c>
      <c r="X53" s="39">
        <v>0.1302</v>
      </c>
      <c r="Y53" s="40" t="s">
        <v>413</v>
      </c>
      <c r="Z53" s="41">
        <v>0.117188</v>
      </c>
      <c r="AA53" s="41">
        <v>0.0763</v>
      </c>
    </row>
    <row r="54" ht="15.75" customHeight="1">
      <c r="A54" s="36">
        <f t="shared" si="1"/>
        <v>49</v>
      </c>
      <c r="B54" s="17" t="s">
        <v>80</v>
      </c>
      <c r="C54" s="17" t="s">
        <v>80</v>
      </c>
      <c r="D54" s="37" t="s">
        <v>414</v>
      </c>
      <c r="E54" s="38">
        <v>0.0254</v>
      </c>
      <c r="F54" s="39">
        <v>0.0551</v>
      </c>
      <c r="G54" s="40" t="s">
        <v>415</v>
      </c>
      <c r="H54" s="41">
        <v>0.024414</v>
      </c>
      <c r="I54" s="41">
        <v>0.0804</v>
      </c>
      <c r="J54" s="37" t="s">
        <v>416</v>
      </c>
      <c r="K54" s="38">
        <v>0.1074</v>
      </c>
      <c r="L54" s="39">
        <v>0.0659</v>
      </c>
      <c r="M54" s="40" t="s">
        <v>417</v>
      </c>
      <c r="N54" s="41">
        <v>0.049805</v>
      </c>
      <c r="O54" s="41">
        <v>0.0878</v>
      </c>
      <c r="P54" s="37" t="s">
        <v>418</v>
      </c>
      <c r="Q54" s="38">
        <v>0.125</v>
      </c>
      <c r="R54" s="39">
        <v>0.0625</v>
      </c>
      <c r="S54" s="40" t="s">
        <v>419</v>
      </c>
      <c r="T54" s="41">
        <v>0.081055</v>
      </c>
      <c r="U54" s="41">
        <v>0.093</v>
      </c>
      <c r="V54" s="37" t="s">
        <v>420</v>
      </c>
      <c r="W54" s="38">
        <v>0.1465</v>
      </c>
      <c r="X54" s="39">
        <v>0.1263</v>
      </c>
      <c r="Y54" s="40" t="s">
        <v>421</v>
      </c>
      <c r="Z54" s="41">
        <v>0.092773</v>
      </c>
      <c r="AA54" s="41">
        <v>0.1062</v>
      </c>
    </row>
    <row r="55" ht="15.75" customHeight="1">
      <c r="F55" s="42"/>
      <c r="K55" s="12"/>
      <c r="X55" s="43"/>
    </row>
    <row r="56" ht="14.25" customHeight="1">
      <c r="A56" s="44"/>
      <c r="B56" s="12"/>
      <c r="C56" s="12"/>
      <c r="G56" s="8"/>
      <c r="J56" s="8"/>
      <c r="K56" s="12"/>
    </row>
    <row r="57" ht="14.25" customHeight="1">
      <c r="A57" s="44"/>
      <c r="B57" s="12"/>
      <c r="I57" s="8"/>
      <c r="J57" s="8"/>
      <c r="K57" s="12"/>
    </row>
    <row r="58" ht="14.25" customHeight="1">
      <c r="B58" s="12"/>
      <c r="I58" s="8"/>
      <c r="J58" s="8"/>
      <c r="K58" s="12"/>
    </row>
    <row r="59" ht="14.25" customHeight="1">
      <c r="A59" s="44"/>
      <c r="B59" s="12"/>
      <c r="H59" s="8"/>
      <c r="I59" s="8"/>
      <c r="J59" s="8"/>
      <c r="K59" s="12"/>
    </row>
    <row r="60" ht="14.25" customHeight="1">
      <c r="A60" s="44"/>
      <c r="B60" s="12"/>
      <c r="H60" s="8"/>
      <c r="I60" s="8"/>
      <c r="J60" s="8"/>
      <c r="K60" s="12"/>
    </row>
    <row r="61" ht="14.25" customHeight="1">
      <c r="A61" s="44"/>
      <c r="B61" s="12"/>
      <c r="H61" s="8"/>
      <c r="I61" s="8"/>
      <c r="J61" s="8"/>
      <c r="K61" s="12"/>
    </row>
    <row r="62" ht="14.25" customHeight="1">
      <c r="A62" s="44"/>
      <c r="B62" s="12"/>
      <c r="H62" s="8"/>
      <c r="I62" s="8"/>
      <c r="J62" s="8"/>
      <c r="K62" s="12"/>
    </row>
    <row r="63" ht="14.25" customHeight="1">
      <c r="A63" s="44"/>
      <c r="B63" s="12"/>
      <c r="H63" s="8"/>
      <c r="I63" s="8"/>
      <c r="J63" s="8"/>
      <c r="K63" s="12"/>
    </row>
    <row r="64" ht="14.25" customHeight="1">
      <c r="A64" s="44"/>
      <c r="B64" s="12"/>
      <c r="H64" s="8"/>
      <c r="I64" s="8"/>
      <c r="J64" s="8"/>
      <c r="K64" s="12"/>
    </row>
    <row r="65" ht="14.25" customHeight="1">
      <c r="A65" s="44"/>
      <c r="B65" s="12"/>
      <c r="H65" s="8"/>
      <c r="I65" s="8"/>
      <c r="J65" s="8"/>
      <c r="K65" s="12"/>
    </row>
    <row r="66" ht="14.25" customHeight="1">
      <c r="A66" s="44"/>
      <c r="B66" s="12"/>
      <c r="H66" s="8"/>
      <c r="I66" s="8"/>
      <c r="J66" s="8"/>
      <c r="K66" s="12"/>
    </row>
    <row r="67" ht="14.25" customHeight="1">
      <c r="A67" s="44"/>
      <c r="B67" s="12"/>
      <c r="H67" s="8"/>
      <c r="I67" s="8"/>
      <c r="J67" s="8"/>
      <c r="K67" s="12"/>
    </row>
    <row r="68" ht="14.25" customHeight="1">
      <c r="A68" s="44"/>
      <c r="B68" s="12"/>
      <c r="H68" s="8"/>
      <c r="I68" s="8"/>
      <c r="J68" s="8"/>
      <c r="K68" s="12"/>
    </row>
    <row r="69" ht="14.25" customHeight="1">
      <c r="A69" s="44"/>
      <c r="B69" s="12"/>
      <c r="H69" s="8"/>
      <c r="I69" s="8"/>
      <c r="J69" s="8"/>
      <c r="K69" s="12"/>
    </row>
    <row r="70" ht="14.25" customHeight="1">
      <c r="A70" s="44"/>
      <c r="B70" s="12"/>
      <c r="H70" s="8"/>
      <c r="I70" s="8"/>
      <c r="J70" s="8"/>
      <c r="K70" s="12"/>
    </row>
    <row r="71" ht="14.25" customHeight="1">
      <c r="A71" s="44"/>
      <c r="B71" s="12"/>
      <c r="H71" s="8"/>
      <c r="I71" s="8"/>
      <c r="J71" s="8"/>
      <c r="K71" s="12"/>
    </row>
    <row r="72" ht="14.25" customHeight="1">
      <c r="A72" s="44"/>
      <c r="B72" s="12"/>
      <c r="H72" s="8"/>
      <c r="I72" s="8"/>
      <c r="J72" s="8"/>
      <c r="K72" s="12"/>
    </row>
    <row r="73" ht="14.25" customHeight="1">
      <c r="A73" s="44"/>
      <c r="B73" s="12"/>
      <c r="C73" s="12"/>
      <c r="G73" s="12"/>
      <c r="H73" s="8"/>
      <c r="I73" s="8"/>
      <c r="J73" s="8"/>
      <c r="K73" s="12"/>
    </row>
    <row r="74" ht="14.25" customHeight="1">
      <c r="A74" s="44"/>
      <c r="B74" s="12"/>
      <c r="C74" s="12"/>
      <c r="G74" s="12"/>
      <c r="H74" s="8"/>
      <c r="I74" s="8"/>
      <c r="J74" s="8"/>
      <c r="K74" s="12"/>
    </row>
    <row r="75" ht="14.25" customHeight="1">
      <c r="A75" s="44"/>
      <c r="B75" s="12"/>
      <c r="C75" s="12"/>
      <c r="G75" s="12"/>
      <c r="H75" s="8"/>
      <c r="I75" s="8"/>
      <c r="J75" s="8"/>
      <c r="K75" s="12"/>
    </row>
    <row r="76" ht="14.25" customHeight="1">
      <c r="A76" s="44"/>
      <c r="B76" s="12"/>
      <c r="C76" s="12"/>
      <c r="G76" s="12"/>
      <c r="H76" s="8"/>
      <c r="I76" s="8"/>
      <c r="J76" s="8"/>
      <c r="K76" s="12"/>
    </row>
    <row r="77" ht="14.25" customHeight="1">
      <c r="A77" s="44"/>
      <c r="B77" s="12"/>
      <c r="C77" s="12"/>
      <c r="G77" s="12"/>
      <c r="H77" s="8"/>
      <c r="I77" s="8"/>
      <c r="J77" s="8"/>
      <c r="K77" s="12"/>
    </row>
    <row r="78" ht="14.25" customHeight="1">
      <c r="A78" s="44"/>
      <c r="B78" s="12"/>
      <c r="C78" s="12"/>
      <c r="F78" s="12"/>
      <c r="G78" s="12"/>
      <c r="H78" s="8"/>
      <c r="I78" s="8"/>
      <c r="J78" s="8"/>
      <c r="K78" s="12"/>
    </row>
    <row r="79" ht="14.25" customHeight="1">
      <c r="A79" s="44"/>
      <c r="B79" s="12"/>
      <c r="C79" s="12"/>
      <c r="F79" s="12"/>
      <c r="G79" s="12"/>
      <c r="H79" s="8"/>
      <c r="I79" s="8"/>
      <c r="J79" s="8"/>
      <c r="K79" s="12"/>
    </row>
    <row r="80" ht="14.25" customHeight="1">
      <c r="A80" s="44"/>
      <c r="B80" s="12"/>
      <c r="C80" s="12"/>
      <c r="F80" s="12"/>
      <c r="G80" s="12"/>
      <c r="H80" s="8"/>
      <c r="I80" s="8"/>
      <c r="J80" s="8"/>
      <c r="K80" s="12"/>
    </row>
    <row r="81" ht="14.25" customHeight="1">
      <c r="A81" s="44"/>
      <c r="B81" s="12"/>
      <c r="C81" s="12"/>
      <c r="F81" s="12"/>
      <c r="G81" s="12"/>
      <c r="H81" s="8"/>
      <c r="I81" s="8"/>
      <c r="J81" s="8"/>
      <c r="K81" s="12"/>
    </row>
    <row r="82" ht="14.25" customHeight="1">
      <c r="A82" s="44"/>
      <c r="B82" s="12"/>
      <c r="C82" s="12"/>
      <c r="F82" s="12"/>
      <c r="G82" s="12"/>
      <c r="H82" s="8"/>
      <c r="I82" s="8"/>
      <c r="J82" s="8"/>
      <c r="K82" s="12"/>
    </row>
    <row r="83" ht="14.25" customHeight="1">
      <c r="A83" s="44"/>
      <c r="B83" s="12"/>
      <c r="C83" s="12"/>
      <c r="F83" s="12"/>
      <c r="G83" s="12"/>
      <c r="H83" s="8"/>
      <c r="I83" s="8"/>
      <c r="J83" s="8"/>
      <c r="K83" s="12"/>
    </row>
    <row r="84" ht="14.25" customHeight="1">
      <c r="A84" s="44"/>
      <c r="B84" s="12"/>
      <c r="C84" s="12"/>
      <c r="F84" s="12"/>
      <c r="G84" s="12"/>
      <c r="H84" s="8"/>
      <c r="I84" s="8"/>
      <c r="J84" s="8"/>
      <c r="K84" s="12"/>
    </row>
    <row r="85" ht="14.25" customHeight="1">
      <c r="A85" s="44"/>
      <c r="B85" s="12"/>
      <c r="C85" s="12"/>
      <c r="F85" s="12"/>
      <c r="G85" s="12"/>
      <c r="H85" s="8"/>
      <c r="I85" s="8"/>
      <c r="J85" s="8"/>
      <c r="K85" s="12"/>
    </row>
    <row r="86" ht="14.25" customHeight="1">
      <c r="A86" s="44"/>
      <c r="B86" s="12"/>
      <c r="C86" s="12"/>
      <c r="F86" s="12"/>
      <c r="G86" s="12"/>
      <c r="H86" s="8"/>
      <c r="I86" s="8"/>
      <c r="J86" s="8"/>
      <c r="K86" s="12"/>
    </row>
    <row r="87" ht="14.25" customHeight="1">
      <c r="A87" s="44"/>
      <c r="B87" s="12"/>
      <c r="C87" s="12"/>
      <c r="F87" s="12"/>
      <c r="G87" s="12"/>
      <c r="H87" s="8"/>
      <c r="I87" s="8"/>
      <c r="J87" s="8"/>
      <c r="K87" s="12"/>
    </row>
    <row r="88" ht="14.25" customHeight="1">
      <c r="A88" s="44"/>
      <c r="B88" s="12"/>
      <c r="C88" s="12"/>
      <c r="F88" s="12"/>
      <c r="G88" s="12"/>
      <c r="H88" s="8"/>
      <c r="I88" s="8"/>
      <c r="J88" s="8"/>
      <c r="K88" s="12"/>
    </row>
    <row r="89" ht="14.25" customHeight="1">
      <c r="A89" s="44"/>
      <c r="B89" s="12"/>
      <c r="C89" s="12"/>
      <c r="F89" s="12"/>
      <c r="G89" s="12"/>
      <c r="H89" s="8"/>
      <c r="I89" s="8"/>
      <c r="J89" s="8"/>
      <c r="K89" s="12"/>
    </row>
    <row r="90" ht="14.25" customHeight="1">
      <c r="A90" s="44"/>
      <c r="B90" s="12"/>
      <c r="C90" s="12"/>
      <c r="F90" s="12"/>
      <c r="G90" s="12"/>
      <c r="H90" s="8"/>
      <c r="I90" s="8"/>
      <c r="J90" s="8"/>
      <c r="K90" s="12"/>
    </row>
    <row r="91" ht="14.25" customHeight="1">
      <c r="A91" s="44"/>
      <c r="B91" s="12"/>
      <c r="C91" s="12"/>
      <c r="F91" s="12"/>
      <c r="G91" s="12"/>
      <c r="H91" s="8"/>
      <c r="I91" s="8"/>
      <c r="J91" s="8"/>
      <c r="K91" s="12"/>
    </row>
    <row r="92" ht="14.25" customHeight="1">
      <c r="A92" s="44"/>
      <c r="B92" s="12"/>
      <c r="C92" s="12"/>
      <c r="F92" s="12"/>
      <c r="G92" s="12"/>
      <c r="H92" s="8"/>
      <c r="I92" s="8"/>
      <c r="J92" s="8"/>
      <c r="K92" s="12"/>
    </row>
    <row r="93" ht="14.25" customHeight="1">
      <c r="A93" s="44"/>
      <c r="B93" s="12"/>
      <c r="C93" s="12"/>
      <c r="F93" s="12"/>
      <c r="G93" s="12"/>
      <c r="H93" s="8"/>
      <c r="I93" s="8"/>
      <c r="J93" s="8"/>
      <c r="K93" s="12"/>
    </row>
    <row r="94" ht="14.25" customHeight="1">
      <c r="A94" s="44"/>
      <c r="B94" s="12"/>
      <c r="C94" s="12"/>
      <c r="F94" s="12"/>
      <c r="G94" s="12"/>
      <c r="H94" s="8"/>
      <c r="I94" s="8"/>
      <c r="J94" s="8"/>
      <c r="K94" s="12"/>
    </row>
    <row r="95" ht="14.25" customHeight="1">
      <c r="A95" s="44"/>
      <c r="B95" s="12"/>
      <c r="C95" s="12"/>
      <c r="F95" s="12"/>
      <c r="G95" s="12"/>
      <c r="H95" s="8"/>
      <c r="I95" s="8"/>
      <c r="J95" s="8"/>
      <c r="K95" s="12"/>
    </row>
    <row r="96" ht="14.25" customHeight="1">
      <c r="A96" s="44"/>
      <c r="B96" s="12"/>
      <c r="C96" s="12"/>
      <c r="F96" s="12"/>
      <c r="G96" s="12"/>
      <c r="H96" s="8"/>
      <c r="I96" s="8"/>
      <c r="J96" s="8"/>
      <c r="K96" s="12"/>
    </row>
    <row r="97" ht="14.25" customHeight="1">
      <c r="A97" s="44"/>
      <c r="B97" s="12"/>
      <c r="C97" s="12"/>
      <c r="F97" s="12"/>
      <c r="G97" s="12"/>
      <c r="H97" s="8"/>
      <c r="I97" s="8"/>
      <c r="J97" s="8"/>
      <c r="K97" s="12"/>
    </row>
    <row r="98" ht="14.25" customHeight="1">
      <c r="A98" s="44"/>
      <c r="B98" s="12"/>
      <c r="C98" s="12"/>
      <c r="F98" s="12"/>
      <c r="G98" s="12"/>
      <c r="H98" s="8"/>
      <c r="I98" s="8"/>
      <c r="J98" s="8"/>
      <c r="K98" s="12"/>
    </row>
    <row r="99" ht="14.25" customHeight="1">
      <c r="A99" s="44"/>
      <c r="B99" s="12"/>
      <c r="C99" s="12"/>
      <c r="F99" s="12"/>
      <c r="G99" s="12"/>
      <c r="H99" s="8"/>
      <c r="I99" s="8"/>
      <c r="J99" s="8"/>
      <c r="K99" s="12"/>
    </row>
    <row r="100" ht="14.25" customHeight="1">
      <c r="A100" s="44"/>
      <c r="B100" s="12"/>
      <c r="C100" s="12"/>
      <c r="F100" s="12"/>
      <c r="G100" s="12"/>
      <c r="H100" s="8"/>
      <c r="I100" s="8"/>
      <c r="J100" s="8"/>
      <c r="K100" s="12"/>
    </row>
    <row r="101" ht="14.25" customHeight="1">
      <c r="A101" s="44"/>
      <c r="B101" s="12"/>
      <c r="C101" s="12"/>
      <c r="F101" s="12"/>
      <c r="G101" s="12"/>
      <c r="H101" s="8"/>
      <c r="I101" s="8"/>
      <c r="J101" s="8"/>
      <c r="K101" s="12"/>
    </row>
    <row r="102" ht="14.25" customHeight="1">
      <c r="A102" s="44"/>
      <c r="B102" s="12"/>
      <c r="C102" s="12"/>
      <c r="F102" s="12"/>
      <c r="G102" s="12"/>
      <c r="H102" s="8"/>
      <c r="I102" s="8"/>
      <c r="J102" s="8"/>
      <c r="K102" s="12"/>
    </row>
    <row r="103" ht="14.25" customHeight="1">
      <c r="A103" s="44"/>
      <c r="B103" s="12"/>
      <c r="C103" s="12"/>
      <c r="F103" s="12"/>
      <c r="G103" s="12"/>
      <c r="H103" s="8"/>
      <c r="I103" s="8"/>
      <c r="J103" s="8"/>
      <c r="K103" s="12"/>
    </row>
    <row r="104" ht="14.25" customHeight="1">
      <c r="A104" s="44"/>
      <c r="B104" s="12"/>
      <c r="C104" s="12"/>
      <c r="F104" s="12"/>
      <c r="G104" s="12"/>
      <c r="H104" s="8"/>
      <c r="I104" s="8"/>
      <c r="J104" s="8"/>
      <c r="K104" s="12"/>
    </row>
    <row r="105" ht="14.25" customHeight="1">
      <c r="A105" s="44"/>
      <c r="B105" s="12"/>
      <c r="C105" s="12"/>
      <c r="F105" s="12"/>
      <c r="G105" s="12"/>
      <c r="H105" s="8"/>
      <c r="I105" s="8"/>
      <c r="J105" s="8"/>
      <c r="K105" s="12"/>
      <c r="M105" s="12"/>
    </row>
    <row r="106" ht="14.25" customHeight="1">
      <c r="A106" s="44"/>
      <c r="B106" s="12"/>
      <c r="C106" s="12"/>
      <c r="D106" s="12"/>
      <c r="E106" s="12"/>
      <c r="F106" s="12"/>
      <c r="G106" s="12"/>
      <c r="H106" s="8"/>
      <c r="I106" s="8"/>
      <c r="J106" s="8"/>
      <c r="K106" s="12"/>
      <c r="M106" s="12"/>
    </row>
    <row r="107" ht="14.25" customHeight="1">
      <c r="A107" s="44"/>
      <c r="B107" s="12"/>
      <c r="C107" s="12"/>
      <c r="D107" s="12"/>
      <c r="E107" s="12"/>
      <c r="F107" s="12"/>
      <c r="G107" s="12"/>
      <c r="H107" s="8"/>
      <c r="I107" s="8"/>
      <c r="J107" s="8"/>
      <c r="K107" s="12"/>
      <c r="M107" s="12"/>
    </row>
    <row r="108" ht="14.25" customHeight="1">
      <c r="A108" s="44"/>
      <c r="B108" s="12"/>
      <c r="C108" s="12"/>
      <c r="D108" s="12"/>
      <c r="E108" s="12"/>
      <c r="F108" s="10"/>
      <c r="G108" s="12"/>
      <c r="H108" s="8"/>
      <c r="I108" s="8"/>
      <c r="J108" s="8"/>
      <c r="K108" s="12"/>
      <c r="M108" s="12"/>
    </row>
    <row r="109" ht="14.25" customHeight="1">
      <c r="A109" s="44"/>
      <c r="B109" s="12"/>
      <c r="C109" s="12"/>
      <c r="D109" s="12"/>
      <c r="E109" s="12"/>
      <c r="F109" s="10"/>
      <c r="G109" s="12"/>
      <c r="H109" s="8"/>
      <c r="I109" s="8"/>
      <c r="J109" s="8"/>
      <c r="K109" s="12"/>
      <c r="M109" s="12"/>
    </row>
    <row r="110" ht="14.25" customHeight="1">
      <c r="A110" s="44"/>
      <c r="B110" s="12"/>
      <c r="C110" s="12"/>
      <c r="D110" s="12"/>
      <c r="E110" s="12"/>
      <c r="F110" s="10"/>
      <c r="G110" s="12"/>
      <c r="H110" s="8"/>
      <c r="I110" s="8"/>
      <c r="J110" s="8"/>
      <c r="K110" s="12"/>
      <c r="M110" s="12"/>
    </row>
    <row r="111" ht="14.25" customHeight="1">
      <c r="A111" s="44"/>
      <c r="B111" s="12"/>
      <c r="C111" s="12"/>
      <c r="D111" s="12"/>
      <c r="E111" s="12"/>
      <c r="F111" s="10"/>
      <c r="G111" s="12"/>
      <c r="H111" s="8"/>
      <c r="I111" s="8"/>
      <c r="J111" s="8"/>
      <c r="K111" s="12"/>
      <c r="M111" s="12"/>
    </row>
    <row r="112" ht="14.25" customHeight="1">
      <c r="A112" s="44"/>
      <c r="B112" s="12"/>
      <c r="C112" s="12"/>
      <c r="D112" s="12"/>
      <c r="E112" s="12"/>
      <c r="F112" s="10"/>
      <c r="G112" s="12"/>
      <c r="H112" s="8"/>
      <c r="I112" s="8"/>
      <c r="J112" s="8"/>
      <c r="K112" s="12"/>
      <c r="M112" s="12"/>
    </row>
    <row r="113" ht="14.25" customHeight="1">
      <c r="A113" s="44"/>
      <c r="B113" s="12"/>
      <c r="C113" s="12"/>
      <c r="D113" s="12"/>
      <c r="E113" s="12"/>
      <c r="F113" s="10"/>
      <c r="G113" s="12"/>
      <c r="H113" s="8"/>
      <c r="I113" s="8"/>
      <c r="J113" s="8"/>
      <c r="K113" s="12"/>
      <c r="M113" s="12"/>
    </row>
    <row r="114" ht="14.25" customHeight="1">
      <c r="A114" s="44"/>
      <c r="B114" s="12"/>
      <c r="C114" s="12"/>
      <c r="D114" s="12"/>
      <c r="E114" s="12"/>
      <c r="F114" s="10"/>
      <c r="G114" s="12"/>
      <c r="H114" s="8"/>
      <c r="I114" s="8"/>
      <c r="J114" s="8"/>
      <c r="K114" s="12"/>
      <c r="M114" s="12"/>
    </row>
    <row r="115" ht="14.25" customHeight="1">
      <c r="A115" s="44"/>
      <c r="B115" s="12"/>
      <c r="C115" s="12"/>
      <c r="D115" s="12"/>
      <c r="E115" s="12"/>
      <c r="F115" s="10"/>
      <c r="G115" s="12"/>
      <c r="H115" s="8"/>
      <c r="I115" s="8"/>
      <c r="J115" s="8"/>
      <c r="K115" s="12"/>
      <c r="M115" s="12"/>
    </row>
    <row r="116" ht="14.25" customHeight="1">
      <c r="A116" s="44"/>
      <c r="B116" s="12"/>
      <c r="C116" s="12"/>
      <c r="D116" s="12"/>
      <c r="E116" s="12"/>
      <c r="F116" s="10"/>
      <c r="G116" s="12"/>
      <c r="H116" s="8"/>
      <c r="I116" s="8"/>
      <c r="J116" s="8"/>
      <c r="K116" s="12"/>
      <c r="M116" s="12"/>
    </row>
    <row r="117" ht="14.25" customHeight="1">
      <c r="A117" s="44"/>
      <c r="B117" s="12"/>
      <c r="C117" s="12"/>
      <c r="D117" s="12"/>
      <c r="E117" s="12"/>
      <c r="F117" s="10"/>
      <c r="G117" s="12"/>
      <c r="H117" s="8"/>
      <c r="I117" s="8"/>
      <c r="J117" s="8"/>
      <c r="K117" s="12"/>
      <c r="M117" s="12"/>
    </row>
    <row r="118" ht="14.25" customHeight="1">
      <c r="A118" s="44"/>
      <c r="B118" s="12"/>
      <c r="C118" s="12"/>
      <c r="D118" s="12"/>
      <c r="E118" s="12"/>
      <c r="F118" s="10"/>
      <c r="G118" s="12"/>
      <c r="H118" s="8"/>
      <c r="I118" s="8"/>
      <c r="J118" s="8"/>
      <c r="K118" s="12"/>
      <c r="M118" s="12"/>
    </row>
    <row r="119" ht="14.25" customHeight="1">
      <c r="A119" s="44"/>
      <c r="B119" s="12"/>
      <c r="C119" s="12"/>
      <c r="D119" s="12"/>
      <c r="E119" s="12"/>
      <c r="F119" s="10"/>
      <c r="G119" s="12"/>
      <c r="H119" s="8"/>
      <c r="I119" s="8"/>
      <c r="J119" s="8"/>
      <c r="K119" s="12"/>
      <c r="M119" s="12"/>
    </row>
    <row r="120" ht="14.25" customHeight="1">
      <c r="A120" s="44"/>
      <c r="B120" s="12"/>
      <c r="C120" s="12"/>
      <c r="D120" s="12"/>
      <c r="E120" s="12"/>
      <c r="F120" s="10"/>
      <c r="G120" s="12"/>
      <c r="H120" s="8"/>
      <c r="I120" s="8"/>
      <c r="J120" s="8"/>
      <c r="K120" s="12"/>
      <c r="M120" s="12"/>
    </row>
    <row r="121" ht="14.25" customHeight="1">
      <c r="A121" s="44"/>
      <c r="B121" s="12"/>
      <c r="C121" s="12"/>
      <c r="D121" s="12"/>
      <c r="E121" s="12"/>
      <c r="F121" s="10"/>
      <c r="G121" s="12"/>
      <c r="H121" s="8"/>
      <c r="I121" s="8"/>
      <c r="J121" s="8"/>
      <c r="K121" s="12"/>
      <c r="M121" s="12"/>
    </row>
    <row r="122" ht="14.25" customHeight="1">
      <c r="A122" s="44"/>
      <c r="B122" s="12"/>
      <c r="C122" s="12"/>
      <c r="D122" s="12"/>
      <c r="E122" s="12"/>
      <c r="F122" s="10"/>
      <c r="G122" s="12"/>
      <c r="H122" s="8"/>
      <c r="I122" s="8"/>
      <c r="J122" s="8"/>
      <c r="K122" s="12"/>
      <c r="M122" s="12"/>
    </row>
    <row r="123" ht="14.25" customHeight="1">
      <c r="A123" s="44"/>
      <c r="B123" s="12"/>
      <c r="C123" s="12"/>
      <c r="D123" s="12"/>
      <c r="E123" s="12"/>
      <c r="F123" s="10"/>
      <c r="G123" s="12"/>
      <c r="H123" s="8"/>
      <c r="I123" s="8"/>
      <c r="J123" s="8"/>
      <c r="K123" s="12"/>
      <c r="M123" s="12"/>
    </row>
    <row r="124" ht="14.25" customHeight="1">
      <c r="A124" s="44"/>
      <c r="B124" s="12"/>
      <c r="C124" s="12"/>
      <c r="D124" s="12"/>
      <c r="E124" s="12"/>
      <c r="F124" s="10"/>
      <c r="G124" s="12"/>
      <c r="H124" s="8"/>
      <c r="I124" s="8"/>
      <c r="J124" s="8"/>
      <c r="K124" s="12"/>
      <c r="M124" s="12"/>
    </row>
    <row r="125" ht="14.25" customHeight="1">
      <c r="A125" s="44"/>
      <c r="B125" s="12"/>
      <c r="C125" s="12"/>
      <c r="D125" s="12"/>
      <c r="E125" s="12"/>
      <c r="F125" s="10"/>
      <c r="G125" s="12"/>
      <c r="H125" s="8"/>
      <c r="I125" s="8"/>
      <c r="J125" s="8"/>
      <c r="K125" s="12"/>
      <c r="M125" s="12"/>
    </row>
    <row r="126" ht="14.25" customHeight="1">
      <c r="A126" s="44"/>
      <c r="B126" s="12"/>
      <c r="C126" s="12"/>
      <c r="D126" s="12"/>
      <c r="E126" s="12"/>
      <c r="F126" s="10"/>
      <c r="G126" s="12"/>
      <c r="H126" s="8"/>
      <c r="I126" s="8"/>
      <c r="J126" s="8"/>
      <c r="K126" s="12"/>
      <c r="M126" s="12"/>
    </row>
    <row r="127" ht="14.25" customHeight="1">
      <c r="A127" s="44"/>
      <c r="B127" s="12"/>
      <c r="C127" s="12"/>
      <c r="D127" s="12"/>
      <c r="E127" s="12"/>
      <c r="F127" s="10"/>
      <c r="G127" s="12"/>
      <c r="H127" s="8"/>
      <c r="I127" s="8"/>
      <c r="J127" s="8"/>
      <c r="K127" s="12"/>
      <c r="M127" s="12"/>
    </row>
    <row r="128" ht="14.25" customHeight="1">
      <c r="A128" s="44"/>
      <c r="B128" s="12"/>
      <c r="C128" s="12"/>
      <c r="D128" s="12"/>
      <c r="E128" s="12"/>
      <c r="F128" s="10"/>
      <c r="G128" s="12"/>
      <c r="H128" s="8"/>
      <c r="I128" s="8"/>
      <c r="J128" s="8"/>
      <c r="K128" s="12"/>
      <c r="M128" s="12"/>
    </row>
    <row r="129" ht="14.25" customHeight="1">
      <c r="A129" s="44"/>
      <c r="B129" s="12"/>
      <c r="C129" s="12"/>
      <c r="D129" s="12"/>
      <c r="E129" s="12"/>
      <c r="F129" s="10"/>
      <c r="G129" s="12"/>
      <c r="H129" s="8"/>
      <c r="I129" s="8"/>
      <c r="J129" s="8"/>
      <c r="K129" s="12"/>
      <c r="M129" s="12"/>
    </row>
    <row r="130" ht="14.25" customHeight="1">
      <c r="A130" s="44"/>
      <c r="B130" s="12"/>
      <c r="C130" s="12"/>
      <c r="D130" s="12"/>
      <c r="E130" s="12"/>
      <c r="F130" s="10"/>
      <c r="G130" s="12"/>
      <c r="H130" s="8"/>
      <c r="I130" s="8"/>
      <c r="J130" s="8"/>
      <c r="K130" s="12"/>
      <c r="M130" s="12"/>
    </row>
    <row r="131" ht="14.25" customHeight="1">
      <c r="A131" s="44"/>
      <c r="B131" s="12"/>
      <c r="C131" s="12"/>
      <c r="D131" s="12"/>
      <c r="E131" s="12"/>
      <c r="F131" s="10"/>
      <c r="G131" s="12"/>
      <c r="H131" s="8"/>
      <c r="I131" s="8"/>
      <c r="J131" s="8"/>
      <c r="K131" s="12"/>
      <c r="M131" s="12"/>
    </row>
    <row r="132" ht="14.25" customHeight="1">
      <c r="A132" s="44"/>
      <c r="B132" s="12"/>
      <c r="C132" s="12"/>
      <c r="D132" s="12"/>
      <c r="E132" s="12"/>
      <c r="F132" s="10"/>
      <c r="G132" s="12"/>
      <c r="H132" s="8"/>
      <c r="I132" s="8"/>
      <c r="J132" s="8"/>
      <c r="K132" s="12"/>
      <c r="M132" s="12"/>
    </row>
    <row r="133" ht="14.25" customHeight="1">
      <c r="A133" s="44"/>
      <c r="B133" s="12"/>
      <c r="C133" s="12"/>
      <c r="D133" s="12"/>
      <c r="E133" s="12"/>
      <c r="F133" s="10"/>
      <c r="G133" s="12"/>
      <c r="H133" s="8"/>
      <c r="I133" s="8"/>
      <c r="J133" s="8"/>
      <c r="K133" s="12"/>
      <c r="M133" s="12"/>
    </row>
    <row r="134" ht="14.25" customHeight="1">
      <c r="A134" s="44"/>
      <c r="B134" s="12"/>
      <c r="C134" s="12"/>
      <c r="D134" s="12"/>
      <c r="E134" s="12"/>
      <c r="F134" s="10"/>
      <c r="G134" s="12"/>
      <c r="H134" s="8"/>
      <c r="I134" s="8"/>
      <c r="J134" s="8"/>
      <c r="K134" s="12"/>
      <c r="M134" s="12"/>
    </row>
    <row r="135" ht="14.25" customHeight="1">
      <c r="A135" s="44"/>
      <c r="B135" s="12"/>
      <c r="C135" s="12"/>
      <c r="D135" s="12"/>
      <c r="E135" s="12"/>
      <c r="F135" s="10"/>
      <c r="G135" s="12"/>
      <c r="H135" s="8"/>
      <c r="I135" s="8"/>
      <c r="J135" s="8"/>
      <c r="K135" s="12"/>
      <c r="M135" s="12"/>
    </row>
    <row r="136" ht="14.25" customHeight="1">
      <c r="A136" s="44"/>
      <c r="B136" s="12"/>
      <c r="C136" s="12"/>
      <c r="D136" s="12"/>
      <c r="E136" s="12"/>
      <c r="F136" s="10"/>
      <c r="G136" s="12"/>
      <c r="H136" s="8"/>
      <c r="I136" s="8"/>
      <c r="J136" s="8"/>
      <c r="K136" s="12"/>
      <c r="M136" s="12"/>
    </row>
    <row r="137" ht="14.25" customHeight="1">
      <c r="A137" s="44"/>
      <c r="B137" s="12"/>
      <c r="C137" s="12"/>
      <c r="D137" s="12"/>
      <c r="E137" s="12"/>
      <c r="F137" s="10"/>
      <c r="G137" s="12"/>
      <c r="H137" s="8"/>
      <c r="I137" s="8"/>
      <c r="J137" s="8"/>
      <c r="K137" s="12"/>
      <c r="M137" s="12"/>
    </row>
    <row r="138" ht="14.25" customHeight="1">
      <c r="A138" s="44"/>
      <c r="B138" s="12"/>
      <c r="C138" s="12"/>
      <c r="D138" s="12"/>
      <c r="E138" s="12"/>
      <c r="F138" s="10"/>
      <c r="G138" s="12"/>
      <c r="H138" s="8"/>
      <c r="I138" s="8"/>
      <c r="J138" s="8"/>
      <c r="K138" s="12"/>
      <c r="M138" s="12"/>
    </row>
    <row r="139" ht="14.25" customHeight="1">
      <c r="A139" s="44"/>
      <c r="B139" s="12"/>
      <c r="C139" s="12"/>
      <c r="D139" s="12"/>
      <c r="E139" s="12"/>
      <c r="F139" s="10"/>
      <c r="G139" s="12"/>
      <c r="H139" s="8"/>
      <c r="I139" s="8"/>
      <c r="J139" s="8"/>
      <c r="K139" s="12"/>
      <c r="M139" s="12"/>
    </row>
    <row r="140" ht="14.25" customHeight="1">
      <c r="A140" s="44"/>
      <c r="B140" s="12"/>
      <c r="C140" s="12"/>
      <c r="D140" s="12"/>
      <c r="E140" s="12"/>
      <c r="F140" s="10"/>
      <c r="G140" s="12"/>
      <c r="H140" s="8"/>
      <c r="I140" s="8"/>
      <c r="J140" s="8"/>
      <c r="K140" s="12"/>
      <c r="M140" s="12"/>
    </row>
    <row r="141" ht="14.25" customHeight="1">
      <c r="A141" s="44"/>
      <c r="B141" s="12"/>
      <c r="C141" s="12"/>
      <c r="D141" s="12"/>
      <c r="E141" s="12"/>
      <c r="F141" s="10"/>
      <c r="G141" s="12"/>
      <c r="H141" s="8"/>
      <c r="I141" s="8"/>
      <c r="J141" s="8"/>
      <c r="K141" s="12"/>
      <c r="M141" s="12"/>
    </row>
    <row r="142" ht="14.25" customHeight="1">
      <c r="A142" s="44"/>
      <c r="B142" s="12"/>
      <c r="C142" s="12"/>
      <c r="D142" s="12"/>
      <c r="E142" s="12"/>
      <c r="F142" s="10"/>
      <c r="G142" s="12"/>
      <c r="H142" s="8"/>
      <c r="I142" s="8"/>
      <c r="J142" s="8"/>
      <c r="K142" s="12"/>
      <c r="M142" s="12"/>
    </row>
    <row r="143" ht="14.25" customHeight="1">
      <c r="A143" s="44"/>
      <c r="B143" s="12"/>
      <c r="C143" s="12"/>
      <c r="D143" s="12"/>
      <c r="E143" s="12"/>
      <c r="F143" s="10"/>
      <c r="G143" s="12"/>
      <c r="H143" s="8"/>
      <c r="I143" s="8"/>
      <c r="J143" s="8"/>
      <c r="K143" s="12"/>
      <c r="M143" s="12"/>
    </row>
    <row r="144" ht="14.25" customHeight="1">
      <c r="A144" s="44"/>
      <c r="B144" s="12"/>
      <c r="C144" s="12"/>
      <c r="D144" s="12"/>
      <c r="E144" s="12"/>
      <c r="F144" s="10"/>
      <c r="G144" s="12"/>
      <c r="H144" s="8"/>
      <c r="I144" s="8"/>
      <c r="J144" s="8"/>
      <c r="K144" s="12"/>
      <c r="M144" s="12"/>
    </row>
    <row r="145" ht="14.25" customHeight="1">
      <c r="A145" s="44"/>
      <c r="B145" s="12"/>
      <c r="C145" s="12"/>
      <c r="D145" s="12"/>
      <c r="E145" s="12"/>
      <c r="F145" s="10"/>
      <c r="G145" s="12"/>
      <c r="H145" s="8"/>
      <c r="I145" s="8"/>
      <c r="J145" s="8"/>
      <c r="K145" s="12"/>
      <c r="M145" s="12"/>
    </row>
    <row r="146" ht="14.25" customHeight="1">
      <c r="A146" s="44"/>
      <c r="B146" s="12"/>
      <c r="C146" s="12"/>
      <c r="D146" s="12"/>
      <c r="E146" s="12"/>
      <c r="F146" s="10"/>
      <c r="G146" s="12"/>
      <c r="H146" s="8"/>
      <c r="I146" s="8"/>
      <c r="J146" s="8"/>
      <c r="K146" s="12"/>
      <c r="M146" s="12"/>
    </row>
    <row r="147" ht="14.25" customHeight="1">
      <c r="A147" s="44"/>
      <c r="B147" s="12"/>
      <c r="C147" s="12"/>
      <c r="D147" s="12"/>
      <c r="E147" s="12"/>
      <c r="F147" s="10"/>
      <c r="G147" s="12"/>
      <c r="H147" s="8"/>
      <c r="I147" s="8"/>
      <c r="J147" s="8"/>
      <c r="K147" s="12"/>
      <c r="M147" s="12"/>
    </row>
    <row r="148" ht="14.25" customHeight="1">
      <c r="A148" s="44"/>
      <c r="B148" s="12"/>
      <c r="C148" s="12"/>
      <c r="D148" s="12"/>
      <c r="E148" s="12"/>
      <c r="F148" s="10"/>
      <c r="G148" s="12"/>
      <c r="H148" s="8"/>
      <c r="I148" s="8"/>
      <c r="J148" s="8"/>
      <c r="K148" s="12"/>
      <c r="M148" s="12"/>
    </row>
    <row r="149" ht="14.25" customHeight="1">
      <c r="A149" s="44"/>
      <c r="B149" s="12"/>
      <c r="C149" s="12"/>
      <c r="D149" s="12"/>
      <c r="E149" s="12"/>
      <c r="F149" s="10"/>
      <c r="G149" s="12"/>
      <c r="H149" s="8"/>
      <c r="I149" s="8"/>
      <c r="J149" s="8"/>
      <c r="K149" s="12"/>
      <c r="M149" s="12"/>
    </row>
    <row r="150" ht="14.25" customHeight="1">
      <c r="A150" s="44"/>
      <c r="B150" s="12"/>
      <c r="C150" s="12"/>
      <c r="D150" s="12"/>
      <c r="E150" s="12"/>
      <c r="F150" s="10"/>
      <c r="G150" s="12"/>
      <c r="H150" s="8"/>
      <c r="I150" s="8"/>
      <c r="J150" s="8"/>
      <c r="K150" s="12"/>
      <c r="M150" s="12"/>
    </row>
    <row r="151" ht="14.25" customHeight="1">
      <c r="A151" s="44"/>
      <c r="B151" s="12"/>
      <c r="C151" s="12"/>
      <c r="D151" s="12"/>
      <c r="E151" s="12"/>
      <c r="F151" s="10"/>
      <c r="G151" s="12"/>
      <c r="H151" s="8"/>
      <c r="I151" s="8"/>
      <c r="J151" s="8"/>
      <c r="K151" s="12"/>
      <c r="M151" s="12"/>
    </row>
    <row r="152" ht="14.25" customHeight="1">
      <c r="A152" s="44"/>
      <c r="B152" s="12"/>
      <c r="C152" s="12"/>
      <c r="D152" s="12"/>
      <c r="E152" s="12"/>
      <c r="F152" s="10"/>
      <c r="G152" s="12"/>
      <c r="H152" s="8"/>
      <c r="I152" s="8"/>
      <c r="J152" s="8"/>
      <c r="K152" s="12"/>
      <c r="M152" s="12"/>
    </row>
    <row r="153" ht="14.25" customHeight="1">
      <c r="A153" s="44"/>
      <c r="B153" s="12"/>
      <c r="C153" s="12"/>
      <c r="D153" s="12"/>
      <c r="E153" s="12"/>
      <c r="F153" s="10"/>
      <c r="G153" s="12"/>
      <c r="H153" s="8"/>
      <c r="I153" s="8"/>
      <c r="J153" s="8"/>
      <c r="K153" s="12"/>
      <c r="M153" s="12"/>
    </row>
    <row r="154" ht="14.25" customHeight="1">
      <c r="A154" s="44"/>
      <c r="B154" s="12"/>
      <c r="C154" s="12"/>
      <c r="D154" s="12"/>
      <c r="E154" s="12"/>
      <c r="F154" s="10"/>
      <c r="G154" s="12"/>
      <c r="H154" s="8"/>
      <c r="I154" s="8"/>
      <c r="J154" s="8"/>
      <c r="K154" s="12"/>
      <c r="M154" s="12"/>
    </row>
    <row r="155" ht="14.25" customHeight="1">
      <c r="A155" s="44"/>
      <c r="B155" s="12"/>
      <c r="C155" s="12"/>
      <c r="D155" s="12"/>
      <c r="E155" s="12"/>
      <c r="F155" s="10"/>
      <c r="G155" s="12"/>
      <c r="H155" s="8"/>
      <c r="I155" s="8"/>
      <c r="J155" s="8"/>
      <c r="K155" s="12"/>
      <c r="M155" s="12"/>
    </row>
    <row r="156" ht="14.25" customHeight="1">
      <c r="A156" s="44"/>
      <c r="B156" s="12"/>
      <c r="C156" s="12"/>
      <c r="D156" s="12"/>
      <c r="E156" s="12"/>
      <c r="F156" s="10"/>
      <c r="G156" s="12"/>
      <c r="H156" s="8"/>
      <c r="I156" s="8"/>
      <c r="J156" s="8"/>
      <c r="K156" s="12"/>
      <c r="M156" s="12"/>
    </row>
    <row r="157" ht="14.25" customHeight="1">
      <c r="A157" s="44"/>
      <c r="B157" s="12"/>
      <c r="C157" s="12"/>
      <c r="D157" s="12"/>
      <c r="E157" s="12"/>
      <c r="F157" s="10"/>
      <c r="G157" s="12"/>
      <c r="H157" s="8"/>
      <c r="I157" s="8"/>
      <c r="J157" s="8"/>
      <c r="K157" s="12"/>
      <c r="M157" s="12"/>
    </row>
    <row r="158" ht="14.25" customHeight="1">
      <c r="A158" s="44"/>
      <c r="B158" s="12"/>
      <c r="C158" s="12"/>
      <c r="D158" s="12"/>
      <c r="E158" s="12"/>
      <c r="F158" s="10"/>
      <c r="G158" s="12"/>
      <c r="H158" s="8"/>
      <c r="I158" s="8"/>
      <c r="J158" s="8"/>
      <c r="K158" s="12"/>
      <c r="M158" s="12"/>
    </row>
    <row r="159" ht="14.25" customHeight="1">
      <c r="A159" s="44"/>
      <c r="B159" s="12"/>
      <c r="C159" s="12"/>
      <c r="D159" s="12"/>
      <c r="E159" s="12"/>
      <c r="F159" s="10"/>
      <c r="G159" s="12"/>
      <c r="H159" s="8"/>
      <c r="I159" s="8"/>
      <c r="J159" s="8"/>
      <c r="K159" s="12"/>
      <c r="M159" s="12"/>
    </row>
    <row r="160" ht="14.25" customHeight="1">
      <c r="A160" s="44"/>
      <c r="B160" s="12"/>
      <c r="C160" s="12"/>
      <c r="D160" s="12"/>
      <c r="E160" s="12"/>
      <c r="F160" s="10"/>
      <c r="G160" s="12"/>
      <c r="H160" s="8"/>
      <c r="I160" s="8"/>
      <c r="J160" s="8"/>
      <c r="K160" s="12"/>
      <c r="M160" s="12"/>
    </row>
    <row r="161" ht="14.25" customHeight="1">
      <c r="A161" s="44"/>
      <c r="B161" s="12"/>
      <c r="C161" s="12"/>
      <c r="D161" s="12"/>
      <c r="E161" s="12"/>
      <c r="F161" s="10"/>
      <c r="G161" s="12"/>
      <c r="H161" s="8"/>
      <c r="I161" s="8"/>
      <c r="J161" s="8"/>
      <c r="K161" s="12"/>
      <c r="M161" s="12"/>
    </row>
    <row r="162" ht="14.25" customHeight="1">
      <c r="A162" s="44"/>
      <c r="B162" s="12"/>
      <c r="C162" s="12"/>
      <c r="D162" s="12"/>
      <c r="E162" s="12"/>
      <c r="F162" s="10"/>
      <c r="G162" s="12"/>
      <c r="H162" s="8"/>
      <c r="I162" s="8"/>
      <c r="J162" s="8"/>
      <c r="K162" s="12"/>
      <c r="M162" s="12"/>
    </row>
    <row r="163" ht="14.25" customHeight="1">
      <c r="A163" s="44"/>
      <c r="B163" s="12"/>
      <c r="C163" s="12"/>
      <c r="D163" s="12"/>
      <c r="E163" s="12"/>
      <c r="F163" s="10"/>
      <c r="G163" s="12"/>
      <c r="H163" s="8"/>
      <c r="I163" s="8"/>
      <c r="J163" s="8"/>
      <c r="K163" s="12"/>
      <c r="M163" s="12"/>
    </row>
    <row r="164" ht="14.25" customHeight="1">
      <c r="A164" s="44"/>
      <c r="B164" s="12"/>
      <c r="C164" s="12"/>
      <c r="D164" s="12"/>
      <c r="E164" s="12"/>
      <c r="F164" s="10"/>
      <c r="G164" s="12"/>
      <c r="H164" s="8"/>
      <c r="I164" s="8"/>
      <c r="J164" s="8"/>
      <c r="K164" s="12"/>
      <c r="M164" s="12"/>
    </row>
    <row r="165" ht="14.25" customHeight="1">
      <c r="A165" s="44"/>
      <c r="B165" s="12"/>
      <c r="C165" s="12"/>
      <c r="D165" s="12"/>
      <c r="E165" s="12"/>
      <c r="F165" s="10"/>
      <c r="G165" s="12"/>
      <c r="H165" s="8"/>
      <c r="I165" s="8"/>
      <c r="J165" s="8"/>
      <c r="K165" s="12"/>
      <c r="M165" s="12"/>
    </row>
    <row r="166" ht="14.25" customHeight="1">
      <c r="A166" s="44"/>
      <c r="B166" s="12"/>
      <c r="C166" s="12"/>
      <c r="D166" s="12"/>
      <c r="E166" s="12"/>
      <c r="F166" s="10"/>
      <c r="G166" s="12"/>
      <c r="H166" s="8"/>
      <c r="I166" s="8"/>
      <c r="J166" s="8"/>
      <c r="K166" s="12"/>
      <c r="M166" s="12"/>
    </row>
    <row r="167" ht="14.25" customHeight="1">
      <c r="A167" s="44"/>
      <c r="B167" s="12"/>
      <c r="C167" s="12"/>
      <c r="D167" s="12"/>
      <c r="E167" s="12"/>
      <c r="F167" s="10"/>
      <c r="G167" s="12"/>
      <c r="H167" s="8"/>
      <c r="I167" s="8"/>
      <c r="J167" s="8"/>
      <c r="K167" s="12"/>
      <c r="M167" s="12"/>
    </row>
    <row r="168" ht="14.25" customHeight="1">
      <c r="A168" s="44"/>
      <c r="B168" s="12"/>
      <c r="C168" s="12"/>
      <c r="D168" s="12"/>
      <c r="E168" s="12"/>
      <c r="F168" s="10"/>
      <c r="G168" s="12"/>
      <c r="H168" s="8"/>
      <c r="I168" s="8"/>
      <c r="J168" s="8"/>
      <c r="K168" s="12"/>
      <c r="M168" s="12"/>
    </row>
    <row r="169" ht="14.25" customHeight="1">
      <c r="A169" s="44"/>
      <c r="B169" s="12"/>
      <c r="C169" s="12"/>
      <c r="D169" s="12"/>
      <c r="E169" s="12"/>
      <c r="F169" s="10"/>
      <c r="G169" s="12"/>
      <c r="H169" s="8"/>
      <c r="I169" s="8"/>
      <c r="J169" s="8"/>
      <c r="K169" s="12"/>
      <c r="M169" s="12"/>
    </row>
    <row r="170" ht="14.25" customHeight="1">
      <c r="A170" s="44"/>
      <c r="B170" s="12"/>
      <c r="C170" s="12"/>
      <c r="D170" s="12"/>
      <c r="E170" s="12"/>
      <c r="F170" s="10"/>
      <c r="G170" s="12"/>
      <c r="H170" s="8"/>
      <c r="I170" s="8"/>
      <c r="J170" s="8"/>
      <c r="K170" s="12"/>
      <c r="M170" s="12"/>
    </row>
    <row r="171" ht="14.25" customHeight="1">
      <c r="A171" s="44"/>
      <c r="B171" s="12"/>
      <c r="C171" s="12"/>
      <c r="D171" s="12"/>
      <c r="E171" s="12"/>
      <c r="F171" s="10"/>
      <c r="G171" s="12"/>
      <c r="H171" s="8"/>
      <c r="I171" s="8"/>
      <c r="J171" s="8"/>
      <c r="K171" s="12"/>
      <c r="M171" s="12"/>
    </row>
    <row r="172" ht="14.25" customHeight="1">
      <c r="A172" s="44"/>
      <c r="B172" s="12"/>
      <c r="C172" s="12"/>
      <c r="D172" s="12"/>
      <c r="E172" s="12"/>
      <c r="F172" s="10"/>
      <c r="G172" s="12"/>
      <c r="H172" s="8"/>
      <c r="I172" s="8"/>
      <c r="J172" s="8"/>
      <c r="K172" s="12"/>
      <c r="M172" s="12"/>
    </row>
    <row r="173" ht="14.25" customHeight="1">
      <c r="A173" s="44"/>
      <c r="B173" s="12"/>
      <c r="C173" s="12"/>
      <c r="D173" s="12"/>
      <c r="E173" s="12"/>
      <c r="F173" s="10"/>
      <c r="G173" s="12"/>
      <c r="H173" s="8"/>
      <c r="I173" s="8"/>
      <c r="J173" s="8"/>
      <c r="K173" s="12"/>
      <c r="M173" s="12"/>
    </row>
    <row r="174" ht="14.25" customHeight="1">
      <c r="A174" s="44"/>
      <c r="B174" s="12"/>
      <c r="C174" s="12"/>
      <c r="D174" s="12"/>
      <c r="E174" s="12"/>
      <c r="F174" s="10"/>
      <c r="G174" s="12"/>
      <c r="H174" s="8"/>
      <c r="I174" s="8"/>
      <c r="J174" s="8"/>
      <c r="K174" s="12"/>
      <c r="M174" s="12"/>
    </row>
    <row r="175" ht="14.25" customHeight="1">
      <c r="A175" s="44"/>
      <c r="B175" s="12"/>
      <c r="C175" s="12"/>
      <c r="D175" s="12"/>
      <c r="E175" s="12"/>
      <c r="F175" s="10"/>
      <c r="G175" s="12"/>
      <c r="H175" s="8"/>
      <c r="I175" s="8"/>
      <c r="J175" s="8"/>
      <c r="K175" s="12"/>
      <c r="M175" s="12"/>
    </row>
    <row r="176" ht="14.25" customHeight="1">
      <c r="A176" s="44"/>
      <c r="B176" s="12"/>
      <c r="C176" s="12"/>
      <c r="D176" s="12"/>
      <c r="E176" s="12"/>
      <c r="F176" s="10"/>
      <c r="G176" s="12"/>
      <c r="H176" s="8"/>
      <c r="I176" s="8"/>
      <c r="J176" s="8"/>
      <c r="K176" s="12"/>
      <c r="M176" s="12"/>
    </row>
    <row r="177" ht="14.25" customHeight="1">
      <c r="A177" s="44"/>
      <c r="B177" s="12"/>
      <c r="C177" s="12"/>
      <c r="D177" s="12"/>
      <c r="E177" s="12"/>
      <c r="F177" s="10"/>
      <c r="G177" s="12"/>
      <c r="H177" s="8"/>
      <c r="I177" s="8"/>
      <c r="J177" s="8"/>
      <c r="K177" s="12"/>
      <c r="M177" s="12"/>
    </row>
    <row r="178" ht="14.25" customHeight="1">
      <c r="A178" s="44"/>
      <c r="B178" s="12"/>
      <c r="C178" s="12"/>
      <c r="D178" s="12"/>
      <c r="E178" s="12"/>
      <c r="F178" s="10"/>
      <c r="G178" s="12"/>
      <c r="H178" s="8"/>
      <c r="I178" s="8"/>
      <c r="J178" s="8"/>
      <c r="K178" s="12"/>
      <c r="M178" s="12"/>
    </row>
    <row r="179" ht="14.25" customHeight="1">
      <c r="A179" s="44"/>
      <c r="B179" s="12"/>
      <c r="C179" s="12"/>
      <c r="D179" s="12"/>
      <c r="E179" s="12"/>
      <c r="F179" s="10"/>
      <c r="G179" s="12"/>
      <c r="H179" s="8"/>
      <c r="I179" s="8"/>
      <c r="J179" s="8"/>
      <c r="K179" s="12"/>
      <c r="M179" s="12"/>
    </row>
    <row r="180" ht="14.25" customHeight="1">
      <c r="A180" s="44"/>
      <c r="B180" s="12"/>
      <c r="C180" s="12"/>
      <c r="D180" s="12"/>
      <c r="E180" s="12"/>
      <c r="F180" s="10"/>
      <c r="G180" s="12"/>
      <c r="H180" s="8"/>
      <c r="I180" s="8"/>
      <c r="J180" s="8"/>
      <c r="K180" s="12"/>
      <c r="M180" s="12"/>
    </row>
    <row r="181" ht="14.25" customHeight="1">
      <c r="A181" s="44"/>
      <c r="B181" s="12"/>
      <c r="C181" s="12"/>
      <c r="D181" s="12"/>
      <c r="E181" s="12"/>
      <c r="F181" s="10"/>
      <c r="G181" s="12"/>
      <c r="H181" s="8"/>
      <c r="I181" s="8"/>
      <c r="J181" s="8"/>
      <c r="K181" s="12"/>
      <c r="M181" s="12"/>
    </row>
    <row r="182" ht="14.25" customHeight="1">
      <c r="A182" s="44"/>
      <c r="B182" s="12"/>
      <c r="C182" s="12"/>
      <c r="D182" s="12"/>
      <c r="E182" s="12"/>
      <c r="F182" s="10"/>
      <c r="G182" s="12"/>
      <c r="H182" s="8"/>
      <c r="I182" s="8"/>
      <c r="J182" s="8"/>
      <c r="K182" s="12"/>
      <c r="M182" s="12"/>
    </row>
    <row r="183" ht="14.25" customHeight="1">
      <c r="A183" s="44"/>
      <c r="B183" s="12"/>
      <c r="C183" s="12"/>
      <c r="D183" s="12"/>
      <c r="E183" s="12"/>
      <c r="F183" s="10"/>
      <c r="G183" s="12"/>
      <c r="H183" s="8"/>
      <c r="I183" s="8"/>
      <c r="J183" s="8"/>
      <c r="K183" s="12"/>
      <c r="M183" s="12"/>
    </row>
    <row r="184" ht="14.25" customHeight="1">
      <c r="A184" s="44"/>
      <c r="B184" s="12"/>
      <c r="C184" s="12"/>
      <c r="D184" s="12"/>
      <c r="E184" s="12"/>
      <c r="F184" s="10"/>
      <c r="G184" s="12"/>
      <c r="H184" s="8"/>
      <c r="I184" s="8"/>
      <c r="J184" s="8"/>
      <c r="K184" s="12"/>
      <c r="M184" s="12"/>
    </row>
    <row r="185" ht="14.25" customHeight="1">
      <c r="A185" s="44"/>
      <c r="B185" s="12"/>
      <c r="C185" s="12"/>
      <c r="D185" s="12"/>
      <c r="E185" s="12"/>
      <c r="F185" s="10"/>
      <c r="G185" s="12"/>
      <c r="H185" s="8"/>
      <c r="I185" s="8"/>
      <c r="J185" s="8"/>
      <c r="K185" s="12"/>
      <c r="M185" s="12"/>
    </row>
    <row r="186" ht="14.25" customHeight="1">
      <c r="A186" s="44"/>
      <c r="B186" s="12"/>
      <c r="C186" s="12"/>
      <c r="D186" s="12"/>
      <c r="E186" s="12"/>
      <c r="F186" s="10"/>
      <c r="G186" s="12"/>
      <c r="H186" s="8"/>
      <c r="I186" s="8"/>
      <c r="J186" s="8"/>
      <c r="K186" s="12"/>
      <c r="M186" s="12"/>
    </row>
    <row r="187" ht="14.25" customHeight="1">
      <c r="A187" s="44"/>
      <c r="B187" s="12"/>
      <c r="C187" s="12"/>
      <c r="D187" s="12"/>
      <c r="E187" s="12"/>
      <c r="F187" s="10"/>
      <c r="G187" s="12"/>
      <c r="H187" s="8"/>
      <c r="I187" s="8"/>
      <c r="J187" s="8"/>
      <c r="K187" s="12"/>
      <c r="M187" s="12"/>
    </row>
    <row r="188" ht="14.25" customHeight="1">
      <c r="A188" s="44"/>
      <c r="B188" s="12"/>
      <c r="C188" s="12"/>
      <c r="D188" s="12"/>
      <c r="E188" s="12"/>
      <c r="F188" s="10"/>
      <c r="G188" s="12"/>
      <c r="H188" s="8"/>
      <c r="I188" s="8"/>
      <c r="J188" s="8"/>
      <c r="K188" s="12"/>
      <c r="M188" s="12"/>
    </row>
    <row r="189" ht="14.25" customHeight="1">
      <c r="A189" s="44"/>
      <c r="B189" s="12"/>
      <c r="C189" s="12"/>
      <c r="D189" s="12"/>
      <c r="E189" s="12"/>
      <c r="F189" s="10"/>
      <c r="G189" s="12"/>
      <c r="H189" s="8"/>
      <c r="I189" s="8"/>
      <c r="J189" s="8"/>
      <c r="K189" s="12"/>
      <c r="M189" s="12"/>
    </row>
    <row r="190" ht="14.25" customHeight="1">
      <c r="A190" s="44"/>
      <c r="B190" s="12"/>
      <c r="C190" s="12"/>
      <c r="D190" s="12"/>
      <c r="E190" s="12"/>
      <c r="F190" s="10"/>
      <c r="G190" s="12"/>
      <c r="H190" s="8"/>
      <c r="I190" s="8"/>
      <c r="J190" s="8"/>
      <c r="K190" s="12"/>
      <c r="M190" s="12"/>
    </row>
    <row r="191" ht="14.25" customHeight="1">
      <c r="A191" s="44"/>
      <c r="B191" s="12"/>
      <c r="C191" s="12"/>
      <c r="D191" s="12"/>
      <c r="E191" s="12"/>
      <c r="F191" s="10"/>
      <c r="G191" s="12"/>
      <c r="H191" s="8"/>
      <c r="I191" s="8"/>
      <c r="J191" s="8"/>
      <c r="K191" s="12"/>
      <c r="M191" s="12"/>
    </row>
    <row r="192" ht="14.25" customHeight="1">
      <c r="A192" s="44"/>
      <c r="B192" s="12"/>
      <c r="C192" s="12"/>
      <c r="D192" s="12"/>
      <c r="E192" s="12"/>
      <c r="F192" s="10"/>
      <c r="G192" s="12"/>
      <c r="H192" s="8"/>
      <c r="I192" s="8"/>
      <c r="J192" s="8"/>
      <c r="K192" s="12"/>
      <c r="M192" s="12"/>
    </row>
    <row r="193" ht="14.25" customHeight="1">
      <c r="A193" s="44"/>
      <c r="B193" s="12"/>
      <c r="C193" s="12"/>
      <c r="D193" s="12"/>
      <c r="E193" s="12"/>
      <c r="F193" s="10"/>
      <c r="G193" s="12"/>
      <c r="H193" s="8"/>
      <c r="I193" s="8"/>
      <c r="J193" s="8"/>
      <c r="K193" s="12"/>
      <c r="M193" s="12"/>
    </row>
    <row r="194" ht="14.25" customHeight="1">
      <c r="A194" s="44"/>
      <c r="B194" s="12"/>
      <c r="C194" s="12"/>
      <c r="D194" s="12"/>
      <c r="E194" s="12"/>
      <c r="F194" s="10"/>
      <c r="G194" s="12"/>
      <c r="H194" s="8"/>
      <c r="I194" s="8"/>
      <c r="J194" s="8"/>
      <c r="K194" s="12"/>
      <c r="M194" s="12"/>
    </row>
    <row r="195" ht="14.25" customHeight="1">
      <c r="A195" s="44"/>
      <c r="B195" s="12"/>
      <c r="C195" s="12"/>
      <c r="D195" s="12"/>
      <c r="E195" s="12"/>
      <c r="F195" s="10"/>
      <c r="G195" s="12"/>
      <c r="H195" s="8"/>
      <c r="I195" s="8"/>
      <c r="J195" s="8"/>
      <c r="K195" s="12"/>
      <c r="M195" s="12"/>
    </row>
    <row r="196" ht="14.25" customHeight="1">
      <c r="A196" s="44"/>
      <c r="B196" s="12"/>
      <c r="C196" s="12"/>
      <c r="D196" s="12"/>
      <c r="E196" s="12"/>
      <c r="F196" s="10"/>
      <c r="G196" s="12"/>
      <c r="H196" s="8"/>
      <c r="I196" s="8"/>
      <c r="J196" s="8"/>
      <c r="K196" s="12"/>
      <c r="M196" s="12"/>
    </row>
    <row r="197" ht="14.25" customHeight="1">
      <c r="A197" s="44"/>
      <c r="B197" s="12"/>
      <c r="C197" s="12"/>
      <c r="D197" s="12"/>
      <c r="E197" s="12"/>
      <c r="F197" s="10"/>
      <c r="G197" s="12"/>
      <c r="H197" s="8"/>
      <c r="I197" s="8"/>
      <c r="J197" s="8"/>
      <c r="K197" s="12"/>
      <c r="M197" s="12"/>
    </row>
    <row r="198" ht="14.25" customHeight="1">
      <c r="A198" s="44"/>
      <c r="B198" s="12"/>
      <c r="C198" s="12"/>
      <c r="D198" s="12"/>
      <c r="E198" s="12"/>
      <c r="F198" s="10"/>
      <c r="G198" s="12"/>
      <c r="H198" s="8"/>
      <c r="I198" s="8"/>
      <c r="J198" s="8"/>
      <c r="K198" s="12"/>
      <c r="M198" s="12"/>
    </row>
    <row r="199" ht="14.25" customHeight="1">
      <c r="A199" s="44"/>
      <c r="B199" s="12"/>
      <c r="C199" s="12"/>
      <c r="D199" s="12"/>
      <c r="E199" s="12"/>
      <c r="F199" s="10"/>
      <c r="G199" s="12"/>
      <c r="H199" s="8"/>
      <c r="I199" s="8"/>
      <c r="J199" s="8"/>
      <c r="K199" s="12"/>
      <c r="M199" s="12"/>
    </row>
    <row r="200" ht="14.25" customHeight="1">
      <c r="A200" s="44"/>
      <c r="B200" s="12"/>
      <c r="C200" s="12"/>
      <c r="D200" s="12"/>
      <c r="E200" s="12"/>
      <c r="F200" s="10"/>
      <c r="G200" s="12"/>
      <c r="H200" s="8"/>
      <c r="I200" s="8"/>
      <c r="J200" s="8"/>
      <c r="K200" s="12"/>
      <c r="M200" s="12"/>
    </row>
    <row r="201" ht="14.25" customHeight="1">
      <c r="A201" s="44"/>
      <c r="B201" s="12"/>
      <c r="C201" s="12"/>
      <c r="D201" s="12"/>
      <c r="E201" s="12"/>
      <c r="F201" s="10"/>
      <c r="G201" s="12"/>
      <c r="H201" s="8"/>
      <c r="I201" s="8"/>
      <c r="J201" s="8"/>
      <c r="K201" s="12"/>
      <c r="M201" s="12"/>
    </row>
    <row r="202" ht="14.25" customHeight="1">
      <c r="A202" s="44"/>
      <c r="B202" s="12"/>
      <c r="C202" s="12"/>
      <c r="D202" s="12"/>
      <c r="E202" s="12"/>
      <c r="F202" s="10"/>
      <c r="G202" s="12"/>
      <c r="H202" s="8"/>
      <c r="I202" s="8"/>
      <c r="J202" s="8"/>
      <c r="K202" s="12"/>
      <c r="M202" s="12"/>
    </row>
    <row r="203" ht="14.25" customHeight="1">
      <c r="A203" s="44"/>
      <c r="B203" s="12"/>
      <c r="C203" s="12"/>
      <c r="D203" s="12"/>
      <c r="E203" s="12"/>
      <c r="F203" s="10"/>
      <c r="G203" s="12"/>
      <c r="H203" s="8"/>
      <c r="I203" s="8"/>
      <c r="J203" s="8"/>
      <c r="K203" s="12"/>
      <c r="M203" s="12"/>
    </row>
    <row r="204" ht="14.25" customHeight="1">
      <c r="A204" s="44"/>
      <c r="B204" s="12"/>
      <c r="C204" s="12"/>
      <c r="D204" s="12"/>
      <c r="E204" s="12"/>
      <c r="F204" s="10"/>
      <c r="G204" s="12"/>
      <c r="H204" s="8"/>
      <c r="I204" s="8"/>
      <c r="J204" s="8"/>
      <c r="K204" s="12"/>
      <c r="M204" s="12"/>
    </row>
    <row r="205" ht="14.25" customHeight="1">
      <c r="A205" s="44"/>
      <c r="B205" s="12"/>
      <c r="C205" s="12"/>
      <c r="D205" s="12"/>
      <c r="E205" s="12"/>
      <c r="F205" s="10"/>
      <c r="G205" s="12"/>
      <c r="H205" s="8"/>
      <c r="I205" s="8"/>
      <c r="J205" s="8"/>
      <c r="K205" s="12"/>
      <c r="M205" s="12"/>
    </row>
    <row r="206" ht="14.25" customHeight="1">
      <c r="A206" s="44"/>
      <c r="B206" s="12"/>
      <c r="C206" s="12"/>
      <c r="D206" s="12"/>
      <c r="E206" s="12"/>
      <c r="F206" s="10"/>
      <c r="G206" s="12"/>
      <c r="H206" s="8"/>
      <c r="I206" s="8"/>
      <c r="J206" s="8"/>
      <c r="K206" s="12"/>
      <c r="M206" s="12"/>
    </row>
    <row r="207" ht="14.25" customHeight="1">
      <c r="A207" s="44"/>
      <c r="B207" s="12"/>
      <c r="C207" s="12"/>
      <c r="D207" s="12"/>
      <c r="E207" s="12"/>
      <c r="F207" s="10"/>
      <c r="G207" s="12"/>
      <c r="H207" s="8"/>
      <c r="I207" s="8"/>
      <c r="J207" s="8"/>
      <c r="K207" s="12"/>
      <c r="M207" s="12"/>
    </row>
    <row r="208" ht="14.25" customHeight="1">
      <c r="A208" s="44"/>
      <c r="B208" s="12"/>
      <c r="C208" s="12"/>
      <c r="D208" s="12"/>
      <c r="E208" s="12"/>
      <c r="F208" s="10"/>
      <c r="G208" s="12"/>
      <c r="H208" s="8"/>
      <c r="I208" s="8"/>
      <c r="J208" s="8"/>
      <c r="K208" s="12"/>
      <c r="M208" s="12"/>
    </row>
    <row r="209" ht="14.25" customHeight="1">
      <c r="A209" s="44"/>
      <c r="B209" s="12"/>
      <c r="C209" s="12"/>
      <c r="D209" s="12"/>
      <c r="E209" s="12"/>
      <c r="F209" s="10"/>
      <c r="G209" s="12"/>
      <c r="H209" s="8"/>
      <c r="I209" s="8"/>
      <c r="J209" s="8"/>
      <c r="K209" s="12"/>
      <c r="M209" s="12"/>
    </row>
    <row r="210" ht="14.25" customHeight="1">
      <c r="A210" s="44"/>
      <c r="B210" s="12"/>
      <c r="C210" s="12"/>
      <c r="D210" s="12"/>
      <c r="E210" s="12"/>
      <c r="F210" s="10"/>
      <c r="G210" s="12"/>
      <c r="H210" s="8"/>
      <c r="I210" s="8"/>
      <c r="J210" s="8"/>
      <c r="K210" s="12"/>
      <c r="M210" s="12"/>
    </row>
    <row r="211" ht="14.25" customHeight="1">
      <c r="A211" s="44"/>
      <c r="B211" s="12"/>
      <c r="C211" s="12"/>
      <c r="D211" s="12"/>
      <c r="E211" s="12"/>
      <c r="F211" s="10"/>
      <c r="G211" s="12"/>
      <c r="H211" s="8"/>
      <c r="I211" s="8"/>
      <c r="J211" s="8"/>
      <c r="K211" s="12"/>
      <c r="M211" s="12"/>
    </row>
    <row r="212" ht="14.25" customHeight="1">
      <c r="A212" s="44"/>
      <c r="B212" s="12"/>
      <c r="C212" s="12"/>
      <c r="D212" s="12"/>
      <c r="E212" s="12"/>
      <c r="F212" s="10"/>
      <c r="G212" s="12"/>
      <c r="H212" s="8"/>
      <c r="I212" s="8"/>
      <c r="J212" s="8"/>
      <c r="K212" s="12"/>
      <c r="M212" s="12"/>
    </row>
    <row r="213" ht="14.25" customHeight="1">
      <c r="A213" s="44"/>
      <c r="B213" s="12"/>
      <c r="C213" s="12"/>
      <c r="D213" s="12"/>
      <c r="E213" s="12"/>
      <c r="F213" s="10"/>
      <c r="G213" s="12"/>
      <c r="H213" s="8"/>
      <c r="I213" s="8"/>
      <c r="J213" s="8"/>
      <c r="K213" s="12"/>
      <c r="M213" s="12"/>
    </row>
    <row r="214" ht="14.25" customHeight="1">
      <c r="A214" s="44"/>
      <c r="B214" s="12"/>
      <c r="C214" s="12"/>
      <c r="D214" s="12"/>
      <c r="E214" s="12"/>
      <c r="F214" s="10"/>
      <c r="G214" s="12"/>
      <c r="H214" s="8"/>
      <c r="I214" s="8"/>
      <c r="J214" s="8"/>
      <c r="K214" s="12"/>
      <c r="M214" s="12"/>
    </row>
    <row r="215" ht="14.25" customHeight="1">
      <c r="A215" s="44"/>
      <c r="B215" s="12"/>
      <c r="C215" s="12"/>
      <c r="D215" s="12"/>
      <c r="E215" s="12"/>
      <c r="F215" s="10"/>
      <c r="G215" s="12"/>
      <c r="H215" s="8"/>
      <c r="I215" s="8"/>
      <c r="J215" s="8"/>
      <c r="K215" s="12"/>
      <c r="M215" s="12"/>
    </row>
    <row r="216" ht="14.25" customHeight="1">
      <c r="A216" s="44"/>
      <c r="B216" s="12"/>
      <c r="C216" s="12"/>
      <c r="D216" s="12"/>
      <c r="E216" s="12"/>
      <c r="F216" s="10"/>
      <c r="G216" s="12"/>
      <c r="H216" s="8"/>
      <c r="I216" s="8"/>
      <c r="J216" s="8"/>
      <c r="K216" s="12"/>
      <c r="M216" s="12"/>
    </row>
    <row r="217" ht="14.25" customHeight="1">
      <c r="A217" s="44"/>
      <c r="B217" s="12"/>
      <c r="C217" s="12"/>
      <c r="D217" s="12"/>
      <c r="E217" s="12"/>
      <c r="F217" s="10"/>
      <c r="G217" s="12"/>
      <c r="H217" s="8"/>
      <c r="I217" s="8"/>
      <c r="J217" s="8"/>
      <c r="K217" s="12"/>
      <c r="M217" s="12"/>
    </row>
    <row r="218" ht="14.25" customHeight="1">
      <c r="A218" s="44"/>
      <c r="B218" s="12"/>
      <c r="C218" s="12"/>
      <c r="D218" s="12"/>
      <c r="E218" s="12"/>
      <c r="F218" s="10"/>
      <c r="G218" s="12"/>
      <c r="H218" s="8"/>
      <c r="I218" s="8"/>
      <c r="J218" s="8"/>
      <c r="K218" s="12"/>
      <c r="M218" s="12"/>
    </row>
    <row r="219" ht="14.25" customHeight="1">
      <c r="A219" s="44"/>
      <c r="B219" s="12"/>
      <c r="C219" s="12"/>
      <c r="D219" s="12"/>
      <c r="E219" s="12"/>
      <c r="F219" s="10"/>
      <c r="G219" s="12"/>
      <c r="H219" s="8"/>
      <c r="I219" s="8"/>
      <c r="J219" s="8"/>
      <c r="K219" s="12"/>
      <c r="M219" s="12"/>
    </row>
    <row r="220" ht="14.25" customHeight="1">
      <c r="A220" s="44"/>
      <c r="B220" s="12"/>
      <c r="C220" s="12"/>
      <c r="D220" s="12"/>
      <c r="E220" s="12"/>
      <c r="F220" s="10"/>
      <c r="G220" s="12"/>
      <c r="H220" s="8"/>
      <c r="I220" s="8"/>
      <c r="J220" s="8"/>
      <c r="K220" s="12"/>
      <c r="M220" s="12"/>
    </row>
    <row r="221" ht="14.25" customHeight="1">
      <c r="A221" s="44"/>
      <c r="B221" s="12"/>
      <c r="C221" s="12"/>
      <c r="D221" s="12"/>
      <c r="E221" s="12"/>
      <c r="F221" s="10"/>
      <c r="G221" s="12"/>
      <c r="H221" s="8"/>
      <c r="I221" s="8"/>
      <c r="J221" s="8"/>
      <c r="K221" s="12"/>
      <c r="M221" s="12"/>
    </row>
    <row r="222" ht="14.25" customHeight="1">
      <c r="A222" s="44"/>
      <c r="B222" s="12"/>
      <c r="C222" s="12"/>
      <c r="D222" s="12"/>
      <c r="E222" s="12"/>
      <c r="F222" s="10"/>
      <c r="G222" s="12"/>
      <c r="H222" s="8"/>
      <c r="I222" s="8"/>
      <c r="J222" s="8"/>
      <c r="K222" s="12"/>
      <c r="M222" s="12"/>
    </row>
    <row r="223" ht="14.25" customHeight="1">
      <c r="A223" s="44"/>
      <c r="B223" s="12"/>
      <c r="C223" s="12"/>
      <c r="D223" s="12"/>
      <c r="E223" s="12"/>
      <c r="F223" s="10"/>
      <c r="G223" s="12"/>
      <c r="H223" s="8"/>
      <c r="I223" s="8"/>
      <c r="J223" s="8"/>
      <c r="K223" s="12"/>
      <c r="M223" s="12"/>
    </row>
    <row r="224" ht="14.25" customHeight="1">
      <c r="A224" s="44"/>
      <c r="B224" s="12"/>
      <c r="C224" s="12"/>
      <c r="D224" s="12"/>
      <c r="E224" s="12"/>
      <c r="F224" s="10"/>
      <c r="G224" s="12"/>
      <c r="H224" s="8"/>
      <c r="I224" s="8"/>
      <c r="J224" s="8"/>
      <c r="K224" s="12"/>
      <c r="M224" s="12"/>
    </row>
    <row r="225" ht="14.25" customHeight="1">
      <c r="A225" s="44"/>
      <c r="B225" s="12"/>
      <c r="C225" s="12"/>
      <c r="D225" s="12"/>
      <c r="E225" s="12"/>
      <c r="F225" s="10"/>
      <c r="G225" s="12"/>
      <c r="H225" s="8"/>
      <c r="I225" s="8"/>
      <c r="J225" s="8"/>
      <c r="K225" s="12"/>
      <c r="M225" s="12"/>
    </row>
    <row r="226" ht="14.25" customHeight="1">
      <c r="A226" s="44"/>
      <c r="B226" s="12"/>
      <c r="C226" s="12"/>
      <c r="D226" s="12"/>
      <c r="E226" s="12"/>
      <c r="F226" s="10"/>
      <c r="G226" s="12"/>
      <c r="H226" s="8"/>
      <c r="I226" s="8"/>
      <c r="J226" s="8"/>
      <c r="K226" s="12"/>
      <c r="M226" s="12"/>
    </row>
    <row r="227" ht="14.25" customHeight="1">
      <c r="A227" s="44"/>
      <c r="B227" s="12"/>
      <c r="C227" s="12"/>
      <c r="D227" s="12"/>
      <c r="E227" s="12"/>
      <c r="F227" s="10"/>
      <c r="G227" s="12"/>
      <c r="H227" s="8"/>
      <c r="I227" s="8"/>
      <c r="J227" s="8"/>
      <c r="K227" s="12"/>
      <c r="M227" s="12"/>
    </row>
    <row r="228" ht="14.25" customHeight="1">
      <c r="A228" s="44"/>
      <c r="B228" s="12"/>
      <c r="C228" s="12"/>
      <c r="D228" s="12"/>
      <c r="E228" s="12"/>
      <c r="F228" s="10"/>
      <c r="G228" s="12"/>
      <c r="H228" s="8"/>
      <c r="I228" s="8"/>
      <c r="J228" s="8"/>
      <c r="K228" s="12"/>
      <c r="M228" s="12"/>
    </row>
    <row r="229" ht="14.25" customHeight="1">
      <c r="A229" s="44"/>
      <c r="B229" s="12"/>
      <c r="C229" s="12"/>
      <c r="D229" s="12"/>
      <c r="E229" s="12"/>
      <c r="F229" s="10"/>
      <c r="G229" s="12"/>
      <c r="H229" s="8"/>
      <c r="I229" s="8"/>
      <c r="J229" s="8"/>
      <c r="K229" s="12"/>
      <c r="M229" s="12"/>
    </row>
    <row r="230" ht="14.25" customHeight="1">
      <c r="A230" s="44"/>
      <c r="B230" s="12"/>
      <c r="C230" s="12"/>
      <c r="D230" s="12"/>
      <c r="E230" s="12"/>
      <c r="F230" s="10"/>
      <c r="G230" s="12"/>
      <c r="H230" s="8"/>
      <c r="I230" s="8"/>
      <c r="J230" s="8"/>
      <c r="K230" s="12"/>
      <c r="M230" s="12"/>
    </row>
    <row r="231" ht="14.25" customHeight="1">
      <c r="A231" s="44"/>
      <c r="B231" s="12"/>
      <c r="C231" s="12"/>
      <c r="D231" s="12"/>
      <c r="E231" s="12"/>
      <c r="F231" s="10"/>
      <c r="G231" s="12"/>
      <c r="H231" s="8"/>
      <c r="I231" s="8"/>
      <c r="J231" s="8"/>
      <c r="K231" s="12"/>
      <c r="M231" s="12"/>
    </row>
    <row r="232" ht="14.25" customHeight="1">
      <c r="A232" s="44"/>
      <c r="B232" s="12"/>
      <c r="C232" s="12"/>
      <c r="D232" s="12"/>
      <c r="E232" s="12"/>
      <c r="F232" s="10"/>
      <c r="G232" s="12"/>
      <c r="H232" s="8"/>
      <c r="I232" s="8"/>
      <c r="J232" s="8"/>
      <c r="K232" s="12"/>
      <c r="M232" s="12"/>
    </row>
    <row r="233" ht="14.25" customHeight="1">
      <c r="A233" s="44"/>
      <c r="B233" s="12"/>
      <c r="C233" s="12"/>
      <c r="D233" s="12"/>
      <c r="E233" s="12"/>
      <c r="F233" s="10"/>
      <c r="G233" s="12"/>
      <c r="H233" s="8"/>
      <c r="I233" s="8"/>
      <c r="J233" s="8"/>
      <c r="K233" s="12"/>
      <c r="M233" s="12"/>
    </row>
    <row r="234" ht="14.25" customHeight="1">
      <c r="A234" s="44"/>
      <c r="B234" s="12"/>
      <c r="C234" s="12"/>
      <c r="D234" s="12"/>
      <c r="E234" s="12"/>
      <c r="F234" s="10"/>
      <c r="G234" s="12"/>
      <c r="H234" s="8"/>
      <c r="I234" s="8"/>
      <c r="J234" s="8"/>
      <c r="K234" s="12"/>
      <c r="M234" s="12"/>
    </row>
    <row r="235" ht="14.25" customHeight="1">
      <c r="A235" s="44"/>
      <c r="B235" s="12"/>
      <c r="C235" s="12"/>
      <c r="D235" s="12"/>
      <c r="E235" s="12"/>
      <c r="F235" s="10"/>
      <c r="G235" s="12"/>
      <c r="H235" s="8"/>
      <c r="I235" s="8"/>
      <c r="J235" s="8"/>
      <c r="K235" s="12"/>
      <c r="M235" s="12"/>
    </row>
    <row r="236" ht="14.25" customHeight="1">
      <c r="A236" s="44"/>
      <c r="B236" s="12"/>
      <c r="C236" s="12"/>
      <c r="D236" s="12"/>
      <c r="E236" s="12"/>
      <c r="F236" s="10"/>
      <c r="G236" s="12"/>
      <c r="H236" s="8"/>
      <c r="I236" s="8"/>
      <c r="J236" s="8"/>
      <c r="K236" s="12"/>
      <c r="M236" s="12"/>
    </row>
    <row r="237" ht="14.25" customHeight="1">
      <c r="A237" s="44"/>
      <c r="B237" s="12"/>
      <c r="C237" s="12"/>
      <c r="D237" s="12"/>
      <c r="E237" s="12"/>
      <c r="F237" s="10"/>
      <c r="G237" s="12"/>
      <c r="H237" s="8"/>
      <c r="I237" s="8"/>
      <c r="J237" s="8"/>
      <c r="K237" s="12"/>
      <c r="M237" s="12"/>
    </row>
    <row r="238" ht="14.25" customHeight="1">
      <c r="A238" s="44"/>
      <c r="B238" s="12"/>
      <c r="C238" s="12"/>
      <c r="D238" s="12"/>
      <c r="E238" s="12"/>
      <c r="F238" s="10"/>
      <c r="G238" s="12"/>
      <c r="H238" s="8"/>
      <c r="I238" s="8"/>
      <c r="J238" s="8"/>
      <c r="K238" s="12"/>
      <c r="M238" s="12"/>
    </row>
    <row r="239" ht="14.25" customHeight="1">
      <c r="A239" s="44"/>
      <c r="B239" s="12"/>
      <c r="C239" s="12"/>
      <c r="D239" s="12"/>
      <c r="E239" s="12"/>
      <c r="F239" s="10"/>
      <c r="G239" s="12"/>
      <c r="H239" s="8"/>
      <c r="I239" s="8"/>
      <c r="J239" s="8"/>
      <c r="K239" s="12"/>
      <c r="M239" s="12"/>
    </row>
    <row r="240" ht="14.25" customHeight="1">
      <c r="A240" s="44"/>
      <c r="B240" s="12"/>
      <c r="C240" s="12"/>
      <c r="D240" s="12"/>
      <c r="E240" s="12"/>
      <c r="F240" s="10"/>
      <c r="G240" s="12"/>
      <c r="H240" s="8"/>
      <c r="I240" s="8"/>
      <c r="J240" s="8"/>
      <c r="K240" s="12"/>
      <c r="M240" s="12"/>
    </row>
    <row r="241" ht="14.25" customHeight="1">
      <c r="A241" s="44"/>
      <c r="B241" s="12"/>
      <c r="C241" s="12"/>
      <c r="D241" s="12"/>
      <c r="E241" s="12"/>
      <c r="F241" s="10"/>
      <c r="G241" s="12"/>
      <c r="H241" s="8"/>
      <c r="I241" s="8"/>
      <c r="J241" s="8"/>
      <c r="K241" s="12"/>
      <c r="M241" s="12"/>
    </row>
    <row r="242" ht="14.25" customHeight="1">
      <c r="A242" s="44"/>
      <c r="B242" s="12"/>
      <c r="C242" s="12"/>
      <c r="D242" s="12"/>
      <c r="E242" s="12"/>
      <c r="F242" s="10"/>
      <c r="G242" s="12"/>
      <c r="H242" s="8"/>
      <c r="I242" s="8"/>
      <c r="J242" s="8"/>
      <c r="K242" s="12"/>
      <c r="M242" s="12"/>
    </row>
    <row r="243" ht="14.25" customHeight="1">
      <c r="A243" s="44"/>
      <c r="B243" s="12"/>
      <c r="C243" s="12"/>
      <c r="D243" s="12"/>
      <c r="E243" s="12"/>
      <c r="F243" s="10"/>
      <c r="G243" s="12"/>
      <c r="H243" s="8"/>
      <c r="I243" s="8"/>
      <c r="J243" s="8"/>
      <c r="K243" s="12"/>
      <c r="M243" s="12"/>
    </row>
    <row r="244" ht="14.25" customHeight="1">
      <c r="A244" s="44"/>
      <c r="B244" s="12"/>
      <c r="C244" s="12"/>
      <c r="D244" s="12"/>
      <c r="E244" s="12"/>
      <c r="F244" s="10"/>
      <c r="G244" s="12"/>
      <c r="H244" s="8"/>
      <c r="I244" s="8"/>
      <c r="J244" s="8"/>
      <c r="K244" s="12"/>
      <c r="M244" s="12"/>
    </row>
    <row r="245" ht="14.25" customHeight="1">
      <c r="A245" s="44"/>
      <c r="B245" s="12"/>
      <c r="C245" s="12"/>
      <c r="D245" s="12"/>
      <c r="E245" s="12"/>
      <c r="F245" s="10"/>
      <c r="G245" s="12"/>
      <c r="H245" s="8"/>
      <c r="I245" s="8"/>
      <c r="J245" s="8"/>
      <c r="K245" s="12"/>
      <c r="M245" s="12"/>
    </row>
    <row r="246" ht="14.25" customHeight="1">
      <c r="A246" s="44"/>
      <c r="B246" s="12"/>
      <c r="C246" s="12"/>
      <c r="D246" s="12"/>
      <c r="E246" s="12"/>
      <c r="F246" s="10"/>
      <c r="G246" s="12"/>
      <c r="H246" s="8"/>
      <c r="I246" s="8"/>
      <c r="J246" s="8"/>
      <c r="K246" s="12"/>
      <c r="M246" s="12"/>
    </row>
    <row r="247" ht="14.25" customHeight="1">
      <c r="A247" s="44"/>
      <c r="B247" s="12"/>
      <c r="C247" s="12"/>
      <c r="D247" s="12"/>
      <c r="E247" s="12"/>
      <c r="F247" s="10"/>
      <c r="G247" s="12"/>
      <c r="H247" s="8"/>
      <c r="I247" s="8"/>
      <c r="J247" s="8"/>
      <c r="K247" s="12"/>
      <c r="M247" s="12"/>
    </row>
    <row r="248" ht="14.25" customHeight="1">
      <c r="A248" s="44"/>
      <c r="B248" s="12"/>
      <c r="C248" s="12"/>
      <c r="D248" s="12"/>
      <c r="E248" s="12"/>
      <c r="F248" s="10"/>
      <c r="G248" s="12"/>
      <c r="H248" s="8"/>
      <c r="I248" s="8"/>
      <c r="J248" s="8"/>
      <c r="K248" s="12"/>
      <c r="M248" s="12"/>
    </row>
    <row r="249" ht="14.25" customHeight="1">
      <c r="A249" s="44"/>
      <c r="B249" s="12"/>
      <c r="C249" s="12"/>
      <c r="D249" s="12"/>
      <c r="E249" s="12"/>
      <c r="F249" s="10"/>
      <c r="G249" s="12"/>
      <c r="H249" s="8"/>
      <c r="I249" s="8"/>
      <c r="J249" s="8"/>
      <c r="K249" s="12"/>
      <c r="M249" s="12"/>
    </row>
    <row r="250" ht="14.25" customHeight="1">
      <c r="A250" s="44"/>
      <c r="B250" s="12"/>
      <c r="C250" s="12"/>
      <c r="D250" s="12"/>
      <c r="E250" s="12"/>
      <c r="F250" s="10"/>
      <c r="G250" s="12"/>
      <c r="H250" s="8"/>
      <c r="I250" s="8"/>
      <c r="J250" s="8"/>
      <c r="K250" s="12"/>
      <c r="M250" s="12"/>
    </row>
    <row r="251" ht="14.25" customHeight="1">
      <c r="A251" s="44"/>
      <c r="B251" s="12"/>
      <c r="C251" s="12"/>
      <c r="D251" s="12"/>
      <c r="E251" s="12"/>
      <c r="F251" s="10"/>
      <c r="G251" s="12"/>
      <c r="H251" s="8"/>
      <c r="I251" s="8"/>
      <c r="J251" s="8"/>
      <c r="K251" s="12"/>
      <c r="M251" s="12"/>
    </row>
    <row r="252" ht="14.25" customHeight="1">
      <c r="A252" s="44"/>
      <c r="B252" s="12"/>
      <c r="C252" s="12"/>
      <c r="D252" s="12"/>
      <c r="E252" s="12"/>
      <c r="F252" s="10"/>
      <c r="G252" s="12"/>
      <c r="H252" s="8"/>
      <c r="I252" s="8"/>
      <c r="J252" s="8"/>
      <c r="K252" s="12"/>
      <c r="M252" s="12"/>
    </row>
    <row r="253" ht="14.25" customHeight="1">
      <c r="A253" s="44"/>
      <c r="B253" s="12"/>
      <c r="C253" s="12"/>
      <c r="D253" s="12"/>
      <c r="E253" s="12"/>
      <c r="F253" s="10"/>
      <c r="G253" s="12"/>
      <c r="H253" s="8"/>
      <c r="I253" s="8"/>
      <c r="J253" s="8"/>
      <c r="K253" s="12"/>
      <c r="M253" s="12"/>
    </row>
    <row r="254" ht="14.25" customHeight="1">
      <c r="A254" s="44"/>
      <c r="B254" s="12"/>
      <c r="C254" s="12"/>
      <c r="D254" s="12"/>
      <c r="E254" s="12"/>
      <c r="F254" s="10"/>
      <c r="G254" s="12"/>
      <c r="H254" s="8"/>
      <c r="I254" s="8"/>
      <c r="J254" s="8"/>
      <c r="K254" s="12"/>
      <c r="M254" s="12"/>
    </row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J4:L4"/>
    <mergeCell ref="M4:O4"/>
    <mergeCell ref="P4:R4"/>
    <mergeCell ref="S4:U4"/>
    <mergeCell ref="V4:X4"/>
    <mergeCell ref="Y4:AA4"/>
    <mergeCell ref="D3:I3"/>
    <mergeCell ref="J3:O3"/>
    <mergeCell ref="P3:U3"/>
    <mergeCell ref="V3:AA3"/>
    <mergeCell ref="B4:C4"/>
    <mergeCell ref="D4:F4"/>
    <mergeCell ref="G4:I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4.43" defaultRowHeight="15.0"/>
  <cols>
    <col customWidth="1" min="1" max="1" width="6.71"/>
    <col customWidth="1" min="2" max="2" width="23.29"/>
    <col customWidth="1" min="3" max="3" width="18.29"/>
    <col customWidth="1" min="4" max="4" width="46.29"/>
    <col customWidth="1" min="5" max="5" width="10.86"/>
    <col customWidth="1" min="6" max="6" width="21.43"/>
    <col customWidth="1" min="7" max="7" width="69.29"/>
    <col customWidth="1" min="8" max="8" width="13.43"/>
    <col customWidth="1" min="9" max="9" width="20.14"/>
    <col customWidth="1" min="10" max="10" width="61.57"/>
    <col customWidth="1" min="11" max="11" width="13.71"/>
    <col customWidth="1" min="12" max="12" width="24.71"/>
    <col customWidth="1" min="13" max="13" width="65.29"/>
    <col customWidth="1" min="14" max="14" width="20.71"/>
    <col customWidth="1" min="15" max="15" width="25.0"/>
    <col customWidth="1" min="16" max="16" width="59.14"/>
    <col customWidth="1" min="17" max="17" width="11.29"/>
    <col customWidth="1" min="18" max="18" width="30.86"/>
    <col customWidth="1" min="19" max="19" width="69.29"/>
    <col customWidth="1" min="20" max="20" width="13.0"/>
    <col customWidth="1" min="21" max="21" width="20.14"/>
    <col customWidth="1" min="22" max="22" width="66.14"/>
    <col customWidth="1" min="23" max="23" width="19.86"/>
    <col customWidth="1" min="24" max="24" width="16.71"/>
    <col customWidth="1" min="25" max="25" width="77.43"/>
    <col customWidth="1" min="26" max="26" width="17.0"/>
    <col customWidth="1" min="27" max="27" width="9.14"/>
    <col customWidth="1" min="28" max="28" width="27.57"/>
    <col customWidth="1" min="29" max="29" width="28.86"/>
    <col customWidth="1" min="30" max="30" width="25.0"/>
    <col customWidth="1" min="31" max="33" width="36.29"/>
    <col customWidth="1" min="34" max="34" width="17.14"/>
    <col customWidth="1" min="35" max="35" width="30.86"/>
    <col customWidth="1" min="36" max="36" width="14.86"/>
  </cols>
  <sheetData>
    <row r="1">
      <c r="A1" s="16" t="s">
        <v>9</v>
      </c>
      <c r="B1" s="45" t="s">
        <v>422</v>
      </c>
    </row>
    <row r="2">
      <c r="A2" s="16" t="s">
        <v>10</v>
      </c>
      <c r="B2" s="17" t="s">
        <v>423</v>
      </c>
    </row>
    <row r="3">
      <c r="A3" s="46" t="s">
        <v>12</v>
      </c>
      <c r="B3" s="17" t="s">
        <v>423</v>
      </c>
      <c r="D3" s="20" t="s">
        <v>13</v>
      </c>
      <c r="E3" s="21"/>
      <c r="F3" s="21"/>
      <c r="G3" s="21"/>
      <c r="H3" s="21"/>
      <c r="I3" s="5"/>
      <c r="J3" s="22" t="s">
        <v>14</v>
      </c>
      <c r="K3" s="21"/>
      <c r="L3" s="21"/>
      <c r="M3" s="21"/>
      <c r="N3" s="21"/>
      <c r="O3" s="5"/>
      <c r="P3" s="20" t="s">
        <v>15</v>
      </c>
      <c r="Q3" s="21"/>
      <c r="R3" s="21"/>
      <c r="S3" s="21"/>
      <c r="T3" s="21"/>
      <c r="U3" s="5"/>
      <c r="V3" s="23" t="s">
        <v>16</v>
      </c>
      <c r="W3" s="21"/>
      <c r="X3" s="21"/>
      <c r="Y3" s="21"/>
      <c r="Z3" s="21"/>
      <c r="AA3" s="5"/>
    </row>
    <row r="4" ht="21.75" customHeight="1">
      <c r="B4" s="24" t="s">
        <v>17</v>
      </c>
      <c r="C4" s="25"/>
      <c r="D4" s="26" t="s">
        <v>18</v>
      </c>
      <c r="E4" s="27"/>
      <c r="F4" s="28"/>
      <c r="G4" s="29" t="s">
        <v>19</v>
      </c>
      <c r="H4" s="27"/>
      <c r="I4" s="28"/>
      <c r="J4" s="26" t="s">
        <v>18</v>
      </c>
      <c r="K4" s="27"/>
      <c r="L4" s="28"/>
      <c r="M4" s="29" t="s">
        <v>19</v>
      </c>
      <c r="N4" s="27"/>
      <c r="O4" s="28"/>
      <c r="P4" s="26" t="s">
        <v>18</v>
      </c>
      <c r="Q4" s="27"/>
      <c r="R4" s="28"/>
      <c r="S4" s="29" t="s">
        <v>19</v>
      </c>
      <c r="T4" s="27"/>
      <c r="U4" s="28"/>
      <c r="V4" s="26" t="s">
        <v>18</v>
      </c>
      <c r="W4" s="27"/>
      <c r="X4" s="28"/>
      <c r="Y4" s="29" t="s">
        <v>19</v>
      </c>
      <c r="Z4" s="27"/>
      <c r="AA4" s="28"/>
      <c r="AB4" s="47"/>
      <c r="AC4" s="48"/>
      <c r="AD4" s="49"/>
      <c r="AE4" s="48"/>
      <c r="AF4" s="48"/>
      <c r="AG4" s="48"/>
      <c r="AH4" s="50"/>
      <c r="AI4" s="50"/>
      <c r="AJ4" s="51"/>
    </row>
    <row r="5" ht="18.75" customHeight="1">
      <c r="A5" s="30" t="s">
        <v>20</v>
      </c>
      <c r="B5" s="31" t="s">
        <v>21</v>
      </c>
      <c r="C5" s="32" t="s">
        <v>22</v>
      </c>
      <c r="D5" s="33" t="s">
        <v>23</v>
      </c>
      <c r="E5" s="33" t="s">
        <v>24</v>
      </c>
      <c r="F5" s="33" t="s">
        <v>26</v>
      </c>
      <c r="G5" s="35" t="s">
        <v>23</v>
      </c>
      <c r="H5" s="35" t="s">
        <v>24</v>
      </c>
      <c r="I5" s="35" t="s">
        <v>26</v>
      </c>
      <c r="J5" s="33" t="s">
        <v>23</v>
      </c>
      <c r="K5" s="33" t="s">
        <v>24</v>
      </c>
      <c r="L5" s="33" t="s">
        <v>26</v>
      </c>
      <c r="M5" s="35" t="s">
        <v>23</v>
      </c>
      <c r="N5" s="35" t="s">
        <v>24</v>
      </c>
      <c r="O5" s="35" t="s">
        <v>26</v>
      </c>
      <c r="P5" s="33" t="s">
        <v>23</v>
      </c>
      <c r="Q5" s="33" t="s">
        <v>24</v>
      </c>
      <c r="R5" s="33" t="s">
        <v>26</v>
      </c>
      <c r="S5" s="35" t="s">
        <v>23</v>
      </c>
      <c r="T5" s="35" t="s">
        <v>24</v>
      </c>
      <c r="U5" s="35" t="s">
        <v>26</v>
      </c>
      <c r="V5" s="33" t="s">
        <v>23</v>
      </c>
      <c r="W5" s="33" t="s">
        <v>24</v>
      </c>
      <c r="X5" s="33" t="s">
        <v>26</v>
      </c>
      <c r="Y5" s="35" t="s">
        <v>23</v>
      </c>
      <c r="Z5" s="35" t="s">
        <v>24</v>
      </c>
      <c r="AA5" s="35" t="s">
        <v>26</v>
      </c>
      <c r="AB5" s="52"/>
      <c r="AC5" s="52"/>
      <c r="AD5" s="52"/>
      <c r="AE5" s="52"/>
      <c r="AF5" s="52"/>
      <c r="AG5" s="52"/>
      <c r="AH5" s="53"/>
      <c r="AI5" s="53"/>
      <c r="AJ5" s="53"/>
    </row>
    <row r="6">
      <c r="A6" s="36">
        <f t="shared" ref="A6:A55" si="1">ROW(A1)</f>
        <v>1</v>
      </c>
      <c r="B6" s="17" t="s">
        <v>423</v>
      </c>
      <c r="C6" s="17" t="s">
        <v>423</v>
      </c>
      <c r="D6" s="37" t="s">
        <v>424</v>
      </c>
      <c r="E6" s="38">
        <v>0.0</v>
      </c>
      <c r="F6" s="39">
        <v>0.056</v>
      </c>
      <c r="G6" s="40" t="s">
        <v>425</v>
      </c>
      <c r="H6" s="54">
        <v>0.071169</v>
      </c>
      <c r="I6" s="54">
        <v>30.0536</v>
      </c>
      <c r="J6" s="37" t="s">
        <v>426</v>
      </c>
      <c r="K6" s="38">
        <v>0.2308</v>
      </c>
      <c r="L6" s="39">
        <v>3.5663</v>
      </c>
      <c r="M6" s="40" t="s">
        <v>427</v>
      </c>
      <c r="N6" s="54">
        <v>0.0</v>
      </c>
      <c r="O6" s="55">
        <v>22.4467</v>
      </c>
      <c r="P6" s="37" t="s">
        <v>428</v>
      </c>
      <c r="Q6" s="38">
        <v>0.2172</v>
      </c>
      <c r="R6" s="39">
        <v>4.2349</v>
      </c>
      <c r="S6" s="40" t="s">
        <v>429</v>
      </c>
      <c r="T6" s="54">
        <v>0.008518</v>
      </c>
      <c r="U6" s="55">
        <v>30.5297</v>
      </c>
      <c r="V6" s="37" t="s">
        <v>430</v>
      </c>
      <c r="W6" s="38">
        <v>0.2452</v>
      </c>
      <c r="X6" s="39">
        <v>4.0002</v>
      </c>
      <c r="Y6" s="40" t="s">
        <v>431</v>
      </c>
      <c r="Z6" s="54">
        <v>0.004263</v>
      </c>
      <c r="AA6" s="55">
        <v>31.1088</v>
      </c>
      <c r="AB6" s="53"/>
      <c r="AC6" s="53"/>
      <c r="AD6" s="53"/>
      <c r="AE6" s="56"/>
      <c r="AF6" s="56"/>
      <c r="AG6" s="56"/>
      <c r="AH6" s="57"/>
      <c r="AI6" s="57"/>
      <c r="AJ6" s="57"/>
    </row>
    <row r="7">
      <c r="A7" s="36">
        <f t="shared" si="1"/>
        <v>2</v>
      </c>
      <c r="B7" s="17" t="s">
        <v>423</v>
      </c>
      <c r="C7" s="17" t="s">
        <v>432</v>
      </c>
      <c r="D7" s="37" t="s">
        <v>433</v>
      </c>
      <c r="E7" s="38">
        <v>0.0</v>
      </c>
      <c r="F7" s="39">
        <v>0.0376</v>
      </c>
      <c r="G7" s="40" t="s">
        <v>434</v>
      </c>
      <c r="H7" s="54">
        <v>0.0806</v>
      </c>
      <c r="I7" s="54">
        <v>30.0702</v>
      </c>
      <c r="J7" s="37" t="s">
        <v>435</v>
      </c>
      <c r="K7" s="38">
        <v>0.2383</v>
      </c>
      <c r="L7" s="39">
        <v>2.0399</v>
      </c>
      <c r="M7" s="40" t="s">
        <v>436</v>
      </c>
      <c r="N7" s="54">
        <v>0.0</v>
      </c>
      <c r="O7" s="55">
        <v>11.2993</v>
      </c>
      <c r="P7" s="37" t="s">
        <v>437</v>
      </c>
      <c r="Q7" s="38">
        <v>0.1648</v>
      </c>
      <c r="R7" s="39">
        <v>2.3245</v>
      </c>
      <c r="S7" s="40" t="s">
        <v>438</v>
      </c>
      <c r="T7" s="54">
        <v>0.0</v>
      </c>
      <c r="U7" s="55">
        <v>17.7084</v>
      </c>
      <c r="V7" s="37" t="s">
        <v>439</v>
      </c>
      <c r="W7" s="38">
        <v>0.1891</v>
      </c>
      <c r="X7" s="39">
        <v>2.636</v>
      </c>
      <c r="Y7" s="40" t="s">
        <v>440</v>
      </c>
      <c r="Z7" s="54">
        <v>0.0</v>
      </c>
      <c r="AA7" s="55">
        <v>23.0212</v>
      </c>
      <c r="AB7" s="53"/>
      <c r="AC7" s="53"/>
      <c r="AD7" s="53"/>
      <c r="AE7" s="58"/>
      <c r="AF7" s="58"/>
      <c r="AG7" s="58"/>
      <c r="AH7" s="57"/>
      <c r="AI7" s="57"/>
      <c r="AJ7" s="57"/>
    </row>
    <row r="8">
      <c r="A8" s="36">
        <f t="shared" si="1"/>
        <v>3</v>
      </c>
      <c r="B8" s="17" t="s">
        <v>423</v>
      </c>
      <c r="C8" s="17" t="s">
        <v>441</v>
      </c>
      <c r="D8" s="37" t="s">
        <v>442</v>
      </c>
      <c r="E8" s="38">
        <v>0.0</v>
      </c>
      <c r="F8" s="39">
        <v>0.2932</v>
      </c>
      <c r="G8" s="40" t="s">
        <v>443</v>
      </c>
      <c r="H8" s="54">
        <v>0.066363</v>
      </c>
      <c r="I8" s="54">
        <v>30.0448</v>
      </c>
      <c r="J8" s="37" t="s">
        <v>444</v>
      </c>
      <c r="K8" s="38">
        <v>0.1711</v>
      </c>
      <c r="L8" s="39">
        <v>2.2594</v>
      </c>
      <c r="M8" s="40" t="s">
        <v>445</v>
      </c>
      <c r="N8" s="54">
        <v>0.0</v>
      </c>
      <c r="O8" s="55">
        <v>10.2293</v>
      </c>
      <c r="P8" s="37" t="s">
        <v>446</v>
      </c>
      <c r="Q8" s="38">
        <v>0.2527</v>
      </c>
      <c r="R8" s="39">
        <v>2.215</v>
      </c>
      <c r="S8" s="40" t="s">
        <v>447</v>
      </c>
      <c r="T8" s="54">
        <v>0.0</v>
      </c>
      <c r="U8" s="55">
        <v>16.6209</v>
      </c>
      <c r="V8" s="37" t="s">
        <v>448</v>
      </c>
      <c r="W8" s="38">
        <v>0.2646</v>
      </c>
      <c r="X8" s="39">
        <v>2.4276</v>
      </c>
      <c r="Y8" s="40" t="s">
        <v>449</v>
      </c>
      <c r="Z8" s="54">
        <v>0.0</v>
      </c>
      <c r="AA8" s="55">
        <v>5.8181</v>
      </c>
      <c r="AB8" s="53"/>
      <c r="AC8" s="53"/>
      <c r="AD8" s="53"/>
      <c r="AE8" s="58"/>
      <c r="AF8" s="58"/>
      <c r="AG8" s="58"/>
      <c r="AH8" s="57"/>
      <c r="AI8" s="57"/>
      <c r="AJ8" s="57"/>
    </row>
    <row r="9">
      <c r="A9" s="36">
        <f t="shared" si="1"/>
        <v>4</v>
      </c>
      <c r="B9" s="17" t="s">
        <v>423</v>
      </c>
      <c r="C9" s="17" t="s">
        <v>450</v>
      </c>
      <c r="D9" s="37" t="s">
        <v>451</v>
      </c>
      <c r="E9" s="38">
        <v>0.0</v>
      </c>
      <c r="F9" s="39">
        <v>0.2315</v>
      </c>
      <c r="G9" s="40" t="s">
        <v>452</v>
      </c>
      <c r="H9" s="54">
        <v>0.0</v>
      </c>
      <c r="I9" s="54">
        <v>29.2885</v>
      </c>
      <c r="J9" s="37" t="s">
        <v>453</v>
      </c>
      <c r="K9" s="38">
        <v>0.2414</v>
      </c>
      <c r="L9" s="39">
        <v>1.577</v>
      </c>
      <c r="M9" s="40" t="s">
        <v>454</v>
      </c>
      <c r="N9" s="54">
        <v>0.0</v>
      </c>
      <c r="O9" s="55">
        <v>1.9986</v>
      </c>
      <c r="P9" s="37" t="s">
        <v>455</v>
      </c>
      <c r="Q9" s="38">
        <v>0.284</v>
      </c>
      <c r="R9" s="39">
        <v>1.8129</v>
      </c>
      <c r="S9" s="40" t="s">
        <v>456</v>
      </c>
      <c r="T9" s="54">
        <v>0.003906</v>
      </c>
      <c r="U9" s="55">
        <v>3.3655</v>
      </c>
      <c r="V9" s="37" t="s">
        <v>457</v>
      </c>
      <c r="W9" s="38">
        <v>0.2762</v>
      </c>
      <c r="X9" s="39">
        <v>2.0749</v>
      </c>
      <c r="Y9" s="40" t="s">
        <v>458</v>
      </c>
      <c r="Z9" s="54">
        <v>0.004231</v>
      </c>
      <c r="AA9" s="55">
        <v>5.1702</v>
      </c>
      <c r="AB9" s="53"/>
      <c r="AC9" s="53"/>
      <c r="AD9" s="53"/>
      <c r="AE9" s="58"/>
      <c r="AF9" s="58"/>
      <c r="AG9" s="58"/>
      <c r="AH9" s="57"/>
      <c r="AI9" s="57"/>
      <c r="AJ9" s="57"/>
    </row>
    <row r="10">
      <c r="A10" s="36">
        <f t="shared" si="1"/>
        <v>5</v>
      </c>
      <c r="B10" s="17" t="s">
        <v>423</v>
      </c>
      <c r="C10" s="17" t="s">
        <v>459</v>
      </c>
      <c r="D10" s="37" t="s">
        <v>460</v>
      </c>
      <c r="E10" s="38">
        <v>0.0013</v>
      </c>
      <c r="F10" s="39">
        <v>2.2352</v>
      </c>
      <c r="G10" s="40" t="s">
        <v>461</v>
      </c>
      <c r="H10" s="54">
        <v>7.61E-4</v>
      </c>
      <c r="I10" s="54">
        <v>2.3969</v>
      </c>
      <c r="J10" s="37" t="s">
        <v>462</v>
      </c>
      <c r="K10" s="38">
        <v>0.067</v>
      </c>
      <c r="L10" s="39">
        <v>1.0107</v>
      </c>
      <c r="M10" s="40" t="s">
        <v>463</v>
      </c>
      <c r="N10" s="54">
        <v>0.001555</v>
      </c>
      <c r="O10" s="55">
        <v>3.1791</v>
      </c>
      <c r="P10" s="37" t="s">
        <v>464</v>
      </c>
      <c r="Q10" s="38">
        <v>0.0659</v>
      </c>
      <c r="R10" s="39">
        <v>1.2232</v>
      </c>
      <c r="S10" s="40" t="s">
        <v>465</v>
      </c>
      <c r="T10" s="54">
        <v>0.003028</v>
      </c>
      <c r="U10" s="55">
        <v>17.0673</v>
      </c>
      <c r="V10" s="37" t="s">
        <v>466</v>
      </c>
      <c r="W10" s="38">
        <v>0.0706</v>
      </c>
      <c r="X10" s="39">
        <v>1.4831</v>
      </c>
      <c r="Y10" s="40" t="s">
        <v>467</v>
      </c>
      <c r="Z10" s="54">
        <v>0.01649</v>
      </c>
      <c r="AA10" s="55">
        <v>30.1593</v>
      </c>
      <c r="AB10" s="53"/>
      <c r="AC10" s="53"/>
      <c r="AD10" s="53"/>
      <c r="AE10" s="58"/>
      <c r="AF10" s="58"/>
      <c r="AG10" s="58"/>
      <c r="AH10" s="57"/>
      <c r="AI10" s="57"/>
      <c r="AJ10" s="57"/>
    </row>
    <row r="11">
      <c r="A11" s="36">
        <f t="shared" si="1"/>
        <v>6</v>
      </c>
      <c r="B11" s="17" t="s">
        <v>423</v>
      </c>
      <c r="C11" s="17" t="s">
        <v>468</v>
      </c>
      <c r="D11" s="37" t="s">
        <v>469</v>
      </c>
      <c r="E11" s="38">
        <v>0.0044</v>
      </c>
      <c r="F11" s="39">
        <v>2.1588</v>
      </c>
      <c r="G11" s="40" t="s">
        <v>470</v>
      </c>
      <c r="H11" s="54">
        <v>1.0E-4</v>
      </c>
      <c r="I11" s="54">
        <v>2.4167</v>
      </c>
      <c r="J11" s="37" t="s">
        <v>471</v>
      </c>
      <c r="K11" s="38">
        <v>0.0487</v>
      </c>
      <c r="L11" s="39">
        <v>0.7993</v>
      </c>
      <c r="M11" s="40" t="s">
        <v>472</v>
      </c>
      <c r="N11" s="54">
        <v>4.36E-4</v>
      </c>
      <c r="O11" s="55">
        <v>2.821</v>
      </c>
      <c r="P11" s="37" t="s">
        <v>473</v>
      </c>
      <c r="Q11" s="38">
        <v>0.0947</v>
      </c>
      <c r="R11" s="39">
        <v>0.7342</v>
      </c>
      <c r="S11" s="40" t="s">
        <v>474</v>
      </c>
      <c r="T11" s="54">
        <v>7.75E-4</v>
      </c>
      <c r="U11" s="55">
        <v>3.316</v>
      </c>
      <c r="V11" s="37" t="s">
        <v>475</v>
      </c>
      <c r="W11" s="38">
        <v>0.0971</v>
      </c>
      <c r="X11" s="39">
        <v>0.9462</v>
      </c>
      <c r="Y11" s="40" t="s">
        <v>476</v>
      </c>
      <c r="Z11" s="54">
        <v>0.001184</v>
      </c>
      <c r="AA11" s="55">
        <v>4.289</v>
      </c>
      <c r="AB11" s="53"/>
      <c r="AC11" s="53"/>
      <c r="AD11" s="53"/>
      <c r="AE11" s="58"/>
      <c r="AF11" s="58"/>
      <c r="AG11" s="58"/>
      <c r="AH11" s="57"/>
      <c r="AI11" s="57"/>
      <c r="AJ11" s="57"/>
    </row>
    <row r="12">
      <c r="A12" s="36">
        <f t="shared" si="1"/>
        <v>7</v>
      </c>
      <c r="B12" s="17" t="s">
        <v>423</v>
      </c>
      <c r="C12" s="17" t="s">
        <v>477</v>
      </c>
      <c r="D12" s="37" t="s">
        <v>478</v>
      </c>
      <c r="E12" s="38">
        <v>0.0072</v>
      </c>
      <c r="F12" s="39">
        <v>2.5975</v>
      </c>
      <c r="G12" s="40" t="s">
        <v>479</v>
      </c>
      <c r="H12" s="54">
        <v>2.01E-4</v>
      </c>
      <c r="I12" s="54">
        <v>1.1813</v>
      </c>
      <c r="J12" s="37" t="s">
        <v>480</v>
      </c>
      <c r="K12" s="38">
        <v>0.0745</v>
      </c>
      <c r="L12" s="39">
        <v>0.7622</v>
      </c>
      <c r="M12" s="40" t="s">
        <v>481</v>
      </c>
      <c r="N12" s="54">
        <v>4.77E-4</v>
      </c>
      <c r="O12" s="55">
        <v>1.323</v>
      </c>
      <c r="P12" s="37" t="s">
        <v>482</v>
      </c>
      <c r="Q12" s="38">
        <v>0.0663</v>
      </c>
      <c r="R12" s="39">
        <v>0.892</v>
      </c>
      <c r="S12" s="40" t="s">
        <v>483</v>
      </c>
      <c r="T12" s="54">
        <v>0.001082</v>
      </c>
      <c r="U12" s="55">
        <v>1.4854</v>
      </c>
      <c r="V12" s="37" t="s">
        <v>484</v>
      </c>
      <c r="W12" s="38">
        <v>0.1009</v>
      </c>
      <c r="X12" s="39">
        <v>1.0787</v>
      </c>
      <c r="Y12" s="40" t="s">
        <v>485</v>
      </c>
      <c r="Z12" s="54">
        <v>0.001699</v>
      </c>
      <c r="AA12" s="55">
        <v>1.8955</v>
      </c>
      <c r="AB12" s="53"/>
      <c r="AC12" s="53"/>
      <c r="AD12" s="53"/>
      <c r="AE12" s="58"/>
      <c r="AF12" s="58"/>
      <c r="AG12" s="58"/>
      <c r="AH12" s="57"/>
      <c r="AI12" s="57"/>
      <c r="AJ12" s="57"/>
    </row>
    <row r="13">
      <c r="A13" s="36">
        <f t="shared" si="1"/>
        <v>8</v>
      </c>
      <c r="B13" s="17" t="s">
        <v>432</v>
      </c>
      <c r="C13" s="17" t="s">
        <v>423</v>
      </c>
      <c r="D13" s="37" t="s">
        <v>486</v>
      </c>
      <c r="E13" s="38">
        <v>0.0</v>
      </c>
      <c r="F13" s="39">
        <v>0.0399</v>
      </c>
      <c r="G13" s="40" t="s">
        <v>487</v>
      </c>
      <c r="H13" s="54">
        <v>0.073146</v>
      </c>
      <c r="I13" s="54">
        <v>30.0111</v>
      </c>
      <c r="J13" s="37" t="s">
        <v>488</v>
      </c>
      <c r="K13" s="38">
        <v>0.1963</v>
      </c>
      <c r="L13" s="39">
        <v>3.3534</v>
      </c>
      <c r="M13" s="40" t="s">
        <v>489</v>
      </c>
      <c r="N13" s="54">
        <v>0.0</v>
      </c>
      <c r="O13" s="55">
        <v>19.6749</v>
      </c>
      <c r="P13" s="37" t="s">
        <v>490</v>
      </c>
      <c r="Q13" s="38">
        <v>0.1946</v>
      </c>
      <c r="R13" s="39">
        <v>3.6531</v>
      </c>
      <c r="S13" s="40" t="s">
        <v>491</v>
      </c>
      <c r="T13" s="54">
        <v>0.0</v>
      </c>
      <c r="U13" s="55">
        <v>31.0002</v>
      </c>
      <c r="V13" s="37" t="s">
        <v>492</v>
      </c>
      <c r="W13" s="38">
        <v>0.205</v>
      </c>
      <c r="X13" s="39">
        <v>4.242</v>
      </c>
      <c r="Y13" s="40" t="s">
        <v>493</v>
      </c>
      <c r="Z13" s="54">
        <v>0.0</v>
      </c>
      <c r="AA13" s="55">
        <v>29.6657</v>
      </c>
      <c r="AB13" s="53"/>
      <c r="AC13" s="53"/>
      <c r="AD13" s="53"/>
      <c r="AE13" s="58"/>
      <c r="AF13" s="58"/>
      <c r="AG13" s="58"/>
      <c r="AH13" s="57"/>
      <c r="AI13" s="57"/>
      <c r="AJ13" s="57"/>
    </row>
    <row r="14">
      <c r="A14" s="36">
        <f t="shared" si="1"/>
        <v>9</v>
      </c>
      <c r="B14" s="17" t="s">
        <v>432</v>
      </c>
      <c r="C14" s="17" t="s">
        <v>432</v>
      </c>
      <c r="D14" s="37" t="s">
        <v>494</v>
      </c>
      <c r="E14" s="38">
        <v>0.0</v>
      </c>
      <c r="F14" s="39">
        <v>0.0288</v>
      </c>
      <c r="G14" s="40" t="s">
        <v>495</v>
      </c>
      <c r="H14" s="54">
        <v>0.073986</v>
      </c>
      <c r="I14" s="54">
        <v>30.0413</v>
      </c>
      <c r="J14" s="37" t="s">
        <v>496</v>
      </c>
      <c r="K14" s="38">
        <v>0.2224</v>
      </c>
      <c r="L14" s="39">
        <v>1.7803</v>
      </c>
      <c r="M14" s="40" t="s">
        <v>497</v>
      </c>
      <c r="N14" s="54">
        <v>0.0</v>
      </c>
      <c r="O14" s="55">
        <v>3.221</v>
      </c>
      <c r="P14" s="37" t="s">
        <v>498</v>
      </c>
      <c r="Q14" s="38">
        <v>0.1857</v>
      </c>
      <c r="R14" s="39">
        <v>2.124</v>
      </c>
      <c r="S14" s="40" t="s">
        <v>499</v>
      </c>
      <c r="T14" s="54">
        <v>0.0</v>
      </c>
      <c r="U14" s="55">
        <v>3.5441</v>
      </c>
      <c r="V14" s="37" t="s">
        <v>500</v>
      </c>
      <c r="W14" s="38">
        <v>0.1616</v>
      </c>
      <c r="X14" s="39">
        <v>3.0127</v>
      </c>
      <c r="Y14" s="40" t="s">
        <v>501</v>
      </c>
      <c r="Z14" s="54">
        <v>0.0</v>
      </c>
      <c r="AA14" s="55">
        <v>12.3159</v>
      </c>
      <c r="AB14" s="53"/>
      <c r="AC14" s="53"/>
      <c r="AD14" s="53"/>
      <c r="AE14" s="58"/>
      <c r="AF14" s="58"/>
      <c r="AG14" s="58"/>
      <c r="AH14" s="57"/>
      <c r="AI14" s="57"/>
      <c r="AJ14" s="57"/>
    </row>
    <row r="15">
      <c r="A15" s="36">
        <f t="shared" si="1"/>
        <v>10</v>
      </c>
      <c r="B15" s="17" t="s">
        <v>432</v>
      </c>
      <c r="C15" s="17" t="s">
        <v>441</v>
      </c>
      <c r="D15" s="37" t="s">
        <v>502</v>
      </c>
      <c r="E15" s="38">
        <v>0.0</v>
      </c>
      <c r="F15" s="39">
        <v>0.2619</v>
      </c>
      <c r="G15" s="40" t="s">
        <v>503</v>
      </c>
      <c r="H15" s="54">
        <v>0.062149</v>
      </c>
      <c r="I15" s="54">
        <v>30.0656</v>
      </c>
      <c r="J15" s="37" t="s">
        <v>504</v>
      </c>
      <c r="K15" s="38">
        <v>0.1603</v>
      </c>
      <c r="L15" s="39">
        <v>1.9461</v>
      </c>
      <c r="M15" s="40" t="s">
        <v>505</v>
      </c>
      <c r="N15" s="54">
        <v>0.0</v>
      </c>
      <c r="O15" s="55">
        <v>10.5549</v>
      </c>
      <c r="P15" s="37" t="s">
        <v>506</v>
      </c>
      <c r="Q15" s="38">
        <v>0.2576</v>
      </c>
      <c r="R15" s="39">
        <v>1.9968</v>
      </c>
      <c r="S15" s="40" t="s">
        <v>507</v>
      </c>
      <c r="T15" s="54">
        <v>0.0</v>
      </c>
      <c r="U15" s="55">
        <v>16.3117</v>
      </c>
      <c r="V15" s="37" t="s">
        <v>508</v>
      </c>
      <c r="W15" s="38">
        <v>0.2785</v>
      </c>
      <c r="X15" s="39">
        <v>2.8672</v>
      </c>
      <c r="Y15" s="40" t="s">
        <v>509</v>
      </c>
      <c r="Z15" s="54">
        <v>0.0</v>
      </c>
      <c r="AA15" s="55">
        <v>19.9534</v>
      </c>
      <c r="AB15" s="53"/>
      <c r="AC15" s="53"/>
      <c r="AD15" s="53"/>
      <c r="AE15" s="58"/>
      <c r="AF15" s="58"/>
      <c r="AG15" s="58"/>
      <c r="AH15" s="57"/>
      <c r="AI15" s="57"/>
      <c r="AJ15" s="57"/>
    </row>
    <row r="16">
      <c r="A16" s="36">
        <f t="shared" si="1"/>
        <v>11</v>
      </c>
      <c r="B16" s="17" t="s">
        <v>432</v>
      </c>
      <c r="C16" s="17" t="s">
        <v>450</v>
      </c>
      <c r="D16" s="37" t="s">
        <v>510</v>
      </c>
      <c r="E16" s="38">
        <v>0.0</v>
      </c>
      <c r="F16" s="39">
        <v>0.2191</v>
      </c>
      <c r="G16" s="40" t="s">
        <v>511</v>
      </c>
      <c r="H16" s="54">
        <v>0.072627</v>
      </c>
      <c r="I16" s="54">
        <v>30.0569</v>
      </c>
      <c r="J16" s="37" t="s">
        <v>512</v>
      </c>
      <c r="K16" s="38">
        <v>0.2504</v>
      </c>
      <c r="L16" s="39">
        <v>1.4065</v>
      </c>
      <c r="M16" s="40" t="s">
        <v>513</v>
      </c>
      <c r="N16" s="54">
        <v>0.0</v>
      </c>
      <c r="O16" s="55">
        <v>5.828</v>
      </c>
      <c r="P16" s="37" t="s">
        <v>514</v>
      </c>
      <c r="Q16" s="38">
        <v>0.2766</v>
      </c>
      <c r="R16" s="39">
        <v>1.6536</v>
      </c>
      <c r="S16" s="40" t="s">
        <v>515</v>
      </c>
      <c r="T16" s="54">
        <v>0.0</v>
      </c>
      <c r="U16" s="55">
        <v>9.2732</v>
      </c>
      <c r="V16" s="37" t="s">
        <v>516</v>
      </c>
      <c r="W16" s="38">
        <v>0.2633</v>
      </c>
      <c r="X16" s="39">
        <v>2.3647</v>
      </c>
      <c r="Y16" s="40" t="s">
        <v>517</v>
      </c>
      <c r="Z16" s="54">
        <v>0.003366</v>
      </c>
      <c r="AA16" s="55">
        <v>12.8843</v>
      </c>
      <c r="AB16" s="53"/>
      <c r="AC16" s="53"/>
      <c r="AD16" s="53"/>
      <c r="AE16" s="58"/>
      <c r="AF16" s="58"/>
      <c r="AG16" s="58"/>
      <c r="AH16" s="57"/>
      <c r="AI16" s="57"/>
      <c r="AJ16" s="57"/>
    </row>
    <row r="17">
      <c r="A17" s="36">
        <f t="shared" si="1"/>
        <v>12</v>
      </c>
      <c r="B17" s="17" t="s">
        <v>432</v>
      </c>
      <c r="C17" s="17" t="s">
        <v>459</v>
      </c>
      <c r="D17" s="37" t="s">
        <v>518</v>
      </c>
      <c r="E17" s="38">
        <v>0.0017</v>
      </c>
      <c r="F17" s="39">
        <v>2.0416</v>
      </c>
      <c r="G17" s="40" t="s">
        <v>519</v>
      </c>
      <c r="H17" s="54">
        <v>7.61E-4</v>
      </c>
      <c r="I17" s="54">
        <v>7.8791</v>
      </c>
      <c r="J17" s="37" t="s">
        <v>520</v>
      </c>
      <c r="K17" s="38">
        <v>0.0632</v>
      </c>
      <c r="L17" s="39">
        <v>0.9189</v>
      </c>
      <c r="M17" s="40" t="s">
        <v>521</v>
      </c>
      <c r="N17" s="54">
        <v>0.001555</v>
      </c>
      <c r="O17" s="55">
        <v>10.6022</v>
      </c>
      <c r="P17" s="37" t="s">
        <v>522</v>
      </c>
      <c r="Q17" s="38">
        <v>0.0623</v>
      </c>
      <c r="R17" s="39">
        <v>1.1561</v>
      </c>
      <c r="S17" s="40" t="s">
        <v>523</v>
      </c>
      <c r="T17" s="54">
        <v>0.003028</v>
      </c>
      <c r="U17" s="55">
        <v>22.6167</v>
      </c>
      <c r="V17" s="37" t="s">
        <v>524</v>
      </c>
      <c r="W17" s="38">
        <v>0.0704</v>
      </c>
      <c r="X17" s="39">
        <v>1.6948</v>
      </c>
      <c r="Y17" s="40" t="s">
        <v>525</v>
      </c>
      <c r="Z17" s="54">
        <v>0.010463</v>
      </c>
      <c r="AA17" s="55">
        <v>30.1592</v>
      </c>
      <c r="AB17" s="53"/>
      <c r="AC17" s="53"/>
      <c r="AD17" s="53"/>
      <c r="AE17" s="58"/>
      <c r="AF17" s="58"/>
      <c r="AG17" s="58"/>
      <c r="AH17" s="57"/>
      <c r="AI17" s="57"/>
      <c r="AJ17" s="57"/>
    </row>
    <row r="18">
      <c r="A18" s="36">
        <f t="shared" si="1"/>
        <v>13</v>
      </c>
      <c r="B18" s="17" t="s">
        <v>432</v>
      </c>
      <c r="C18" s="17" t="s">
        <v>468</v>
      </c>
      <c r="D18" s="37" t="s">
        <v>526</v>
      </c>
      <c r="E18" s="38">
        <v>0.0044</v>
      </c>
      <c r="F18" s="39">
        <v>1.7495</v>
      </c>
      <c r="G18" s="40" t="s">
        <v>527</v>
      </c>
      <c r="H18" s="54">
        <v>1.0E-4</v>
      </c>
      <c r="I18" s="54">
        <v>1.8078</v>
      </c>
      <c r="J18" s="37" t="s">
        <v>528</v>
      </c>
      <c r="K18" s="38">
        <v>0.0864</v>
      </c>
      <c r="L18" s="39">
        <v>0.7</v>
      </c>
      <c r="M18" s="40" t="s">
        <v>529</v>
      </c>
      <c r="N18" s="54">
        <v>4.36E-4</v>
      </c>
      <c r="O18" s="55">
        <v>1.9866</v>
      </c>
      <c r="P18" s="37" t="s">
        <v>530</v>
      </c>
      <c r="Q18" s="38">
        <v>0.0924</v>
      </c>
      <c r="R18" s="39">
        <v>0.7061</v>
      </c>
      <c r="S18" s="40" t="s">
        <v>531</v>
      </c>
      <c r="T18" s="54">
        <v>8.45E-4</v>
      </c>
      <c r="U18" s="55">
        <v>2.4655</v>
      </c>
      <c r="V18" s="37" t="s">
        <v>532</v>
      </c>
      <c r="W18" s="38">
        <v>0.0902</v>
      </c>
      <c r="X18" s="39">
        <v>1.2706</v>
      </c>
      <c r="Y18" s="40" t="s">
        <v>533</v>
      </c>
      <c r="Z18" s="54">
        <v>0.001373</v>
      </c>
      <c r="AA18" s="55">
        <v>3.166</v>
      </c>
      <c r="AB18" s="53"/>
      <c r="AC18" s="53"/>
      <c r="AD18" s="53"/>
      <c r="AE18" s="58"/>
      <c r="AF18" s="58"/>
      <c r="AG18" s="58"/>
      <c r="AH18" s="57"/>
      <c r="AI18" s="57"/>
      <c r="AJ18" s="57"/>
    </row>
    <row r="19">
      <c r="A19" s="36">
        <f t="shared" si="1"/>
        <v>14</v>
      </c>
      <c r="B19" s="17" t="s">
        <v>432</v>
      </c>
      <c r="C19" s="17" t="s">
        <v>477</v>
      </c>
      <c r="D19" s="37" t="s">
        <v>534</v>
      </c>
      <c r="E19" s="38">
        <v>0.0072</v>
      </c>
      <c r="F19" s="39">
        <v>1.9899</v>
      </c>
      <c r="G19" s="40" t="s">
        <v>535</v>
      </c>
      <c r="H19" s="54">
        <v>2.01E-4</v>
      </c>
      <c r="I19" s="54">
        <v>0.9033</v>
      </c>
      <c r="J19" s="37" t="s">
        <v>536</v>
      </c>
      <c r="K19" s="38">
        <v>0.06</v>
      </c>
      <c r="L19" s="39">
        <v>0.6317</v>
      </c>
      <c r="M19" s="40" t="s">
        <v>537</v>
      </c>
      <c r="N19" s="54">
        <v>4.77E-4</v>
      </c>
      <c r="O19" s="55">
        <v>0.8622</v>
      </c>
      <c r="P19" s="37" t="s">
        <v>538</v>
      </c>
      <c r="Q19" s="38">
        <v>0.0621</v>
      </c>
      <c r="R19" s="39">
        <v>0.7834</v>
      </c>
      <c r="S19" s="40" t="s">
        <v>539</v>
      </c>
      <c r="T19" s="54">
        <v>0.001082</v>
      </c>
      <c r="U19" s="55">
        <v>1.0609</v>
      </c>
      <c r="V19" s="37" t="s">
        <v>540</v>
      </c>
      <c r="W19" s="38">
        <v>0.0867</v>
      </c>
      <c r="X19" s="39">
        <v>1.2171</v>
      </c>
      <c r="Y19" s="40" t="s">
        <v>541</v>
      </c>
      <c r="Z19" s="54">
        <v>0.001699</v>
      </c>
      <c r="AA19" s="55">
        <v>1.3456</v>
      </c>
      <c r="AB19" s="53"/>
      <c r="AC19" s="53"/>
      <c r="AD19" s="53"/>
      <c r="AE19" s="58"/>
      <c r="AF19" s="58"/>
      <c r="AG19" s="58"/>
      <c r="AH19" s="57"/>
      <c r="AI19" s="57"/>
      <c r="AJ19" s="57"/>
    </row>
    <row r="20">
      <c r="A20" s="36">
        <f t="shared" si="1"/>
        <v>15</v>
      </c>
      <c r="B20" s="17" t="s">
        <v>441</v>
      </c>
      <c r="C20" s="17" t="s">
        <v>423</v>
      </c>
      <c r="D20" s="37" t="s">
        <v>542</v>
      </c>
      <c r="E20" s="38">
        <v>0.0</v>
      </c>
      <c r="F20" s="39">
        <v>0.0403</v>
      </c>
      <c r="G20" s="40" t="s">
        <v>543</v>
      </c>
      <c r="H20" s="54">
        <v>0.065417</v>
      </c>
      <c r="I20" s="54">
        <v>30.0091</v>
      </c>
      <c r="J20" s="37" t="s">
        <v>544</v>
      </c>
      <c r="K20" s="38">
        <v>0.1344</v>
      </c>
      <c r="L20" s="39">
        <v>3.4059</v>
      </c>
      <c r="M20" s="40" t="s">
        <v>545</v>
      </c>
      <c r="N20" s="54">
        <v>0.0</v>
      </c>
      <c r="O20" s="55">
        <v>6.3896</v>
      </c>
      <c r="P20" s="37" t="s">
        <v>546</v>
      </c>
      <c r="Q20" s="38">
        <v>0.2191</v>
      </c>
      <c r="R20" s="39">
        <v>3.5267</v>
      </c>
      <c r="S20" s="40" t="s">
        <v>547</v>
      </c>
      <c r="T20" s="54">
        <v>0.0</v>
      </c>
      <c r="U20" s="55">
        <v>12.6413</v>
      </c>
      <c r="V20" s="37" t="s">
        <v>548</v>
      </c>
      <c r="W20" s="38">
        <v>0.2035</v>
      </c>
      <c r="X20" s="39">
        <v>4.4814</v>
      </c>
      <c r="Y20" s="40" t="s">
        <v>549</v>
      </c>
      <c r="Z20" s="54">
        <v>0.0</v>
      </c>
      <c r="AA20" s="55">
        <v>11.1482</v>
      </c>
      <c r="AB20" s="53"/>
      <c r="AC20" s="53"/>
      <c r="AD20" s="53"/>
      <c r="AE20" s="58"/>
      <c r="AF20" s="58"/>
      <c r="AG20" s="58"/>
      <c r="AH20" s="57"/>
      <c r="AI20" s="57"/>
      <c r="AJ20" s="57"/>
    </row>
    <row r="21" ht="15.75" customHeight="1">
      <c r="A21" s="36">
        <f t="shared" si="1"/>
        <v>16</v>
      </c>
      <c r="B21" s="17" t="s">
        <v>441</v>
      </c>
      <c r="C21" s="17" t="s">
        <v>432</v>
      </c>
      <c r="D21" s="37" t="s">
        <v>550</v>
      </c>
      <c r="E21" s="38">
        <v>0.0</v>
      </c>
      <c r="F21" s="39">
        <v>0.0237</v>
      </c>
      <c r="G21" s="40" t="s">
        <v>551</v>
      </c>
      <c r="H21" s="54">
        <v>0.073202</v>
      </c>
      <c r="I21" s="54">
        <v>30.0674</v>
      </c>
      <c r="J21" s="37" t="s">
        <v>552</v>
      </c>
      <c r="K21" s="38">
        <v>0.1362</v>
      </c>
      <c r="L21" s="39">
        <v>1.9244</v>
      </c>
      <c r="M21" s="40" t="s">
        <v>553</v>
      </c>
      <c r="N21" s="54">
        <v>0.0</v>
      </c>
      <c r="O21" s="55">
        <v>11.9796</v>
      </c>
      <c r="P21" s="37" t="s">
        <v>554</v>
      </c>
      <c r="Q21" s="38">
        <v>0.2134</v>
      </c>
      <c r="R21" s="39">
        <v>2.1356</v>
      </c>
      <c r="S21" s="40" t="s">
        <v>555</v>
      </c>
      <c r="T21" s="54">
        <v>0.0</v>
      </c>
      <c r="U21" s="55">
        <v>13.2469</v>
      </c>
      <c r="V21" s="37" t="s">
        <v>556</v>
      </c>
      <c r="W21" s="38">
        <v>0.1619</v>
      </c>
      <c r="X21" s="39">
        <v>3.0557</v>
      </c>
      <c r="Y21" s="40" t="s">
        <v>557</v>
      </c>
      <c r="Z21" s="54">
        <v>0.0</v>
      </c>
      <c r="AA21" s="55">
        <v>21.6287</v>
      </c>
      <c r="AB21" s="53"/>
      <c r="AC21" s="53"/>
      <c r="AD21" s="53"/>
      <c r="AE21" s="58"/>
      <c r="AF21" s="58"/>
      <c r="AG21" s="58"/>
      <c r="AH21" s="57"/>
      <c r="AI21" s="57"/>
      <c r="AJ21" s="57"/>
    </row>
    <row r="22" ht="15.75" customHeight="1">
      <c r="A22" s="36">
        <f t="shared" si="1"/>
        <v>17</v>
      </c>
      <c r="B22" s="17" t="s">
        <v>441</v>
      </c>
      <c r="C22" s="17" t="s">
        <v>441</v>
      </c>
      <c r="D22" s="37" t="s">
        <v>558</v>
      </c>
      <c r="E22" s="38">
        <v>0.0</v>
      </c>
      <c r="F22" s="39">
        <v>0.7208</v>
      </c>
      <c r="G22" s="40" t="s">
        <v>559</v>
      </c>
      <c r="H22" s="54">
        <v>0.060235</v>
      </c>
      <c r="I22" s="54">
        <v>30.0666</v>
      </c>
      <c r="J22" s="37" t="s">
        <v>560</v>
      </c>
      <c r="K22" s="38">
        <v>0.247</v>
      </c>
      <c r="L22" s="39">
        <v>1.9351</v>
      </c>
      <c r="M22" s="40" t="s">
        <v>561</v>
      </c>
      <c r="N22" s="54">
        <v>0.0</v>
      </c>
      <c r="O22" s="55">
        <v>10.6329</v>
      </c>
      <c r="P22" s="37" t="s">
        <v>562</v>
      </c>
      <c r="Q22" s="38">
        <v>0.2611</v>
      </c>
      <c r="R22" s="39">
        <v>2.0535</v>
      </c>
      <c r="S22" s="40" t="s">
        <v>563</v>
      </c>
      <c r="T22" s="54">
        <v>0.0</v>
      </c>
      <c r="U22" s="55">
        <v>15.3639</v>
      </c>
      <c r="V22" s="37" t="s">
        <v>564</v>
      </c>
      <c r="W22" s="38">
        <v>0.2871</v>
      </c>
      <c r="X22" s="39">
        <v>2.7879</v>
      </c>
      <c r="Y22" s="40" t="s">
        <v>565</v>
      </c>
      <c r="Z22" s="54">
        <v>0.0</v>
      </c>
      <c r="AA22" s="55">
        <v>20.7086</v>
      </c>
      <c r="AB22" s="53"/>
      <c r="AC22" s="53"/>
      <c r="AD22" s="53"/>
      <c r="AE22" s="58"/>
      <c r="AF22" s="58"/>
      <c r="AG22" s="58"/>
      <c r="AH22" s="57"/>
      <c r="AI22" s="57"/>
      <c r="AJ22" s="57"/>
    </row>
    <row r="23" ht="15.75" customHeight="1">
      <c r="A23" s="36">
        <f t="shared" si="1"/>
        <v>18</v>
      </c>
      <c r="B23" s="17" t="s">
        <v>441</v>
      </c>
      <c r="C23" s="17" t="s">
        <v>450</v>
      </c>
      <c r="D23" s="37" t="s">
        <v>566</v>
      </c>
      <c r="E23" s="38">
        <v>0.0</v>
      </c>
      <c r="F23" s="39">
        <v>0.2565</v>
      </c>
      <c r="G23" s="40" t="s">
        <v>567</v>
      </c>
      <c r="H23" s="54">
        <v>0.071084</v>
      </c>
      <c r="I23" s="54">
        <v>30.0729</v>
      </c>
      <c r="J23" s="37" t="s">
        <v>568</v>
      </c>
      <c r="K23" s="38">
        <v>0.2576</v>
      </c>
      <c r="L23" s="39">
        <v>1.395</v>
      </c>
      <c r="M23" s="40" t="s">
        <v>569</v>
      </c>
      <c r="N23" s="54">
        <v>0.0</v>
      </c>
      <c r="O23" s="55">
        <v>6.078</v>
      </c>
      <c r="P23" s="37" t="s">
        <v>570</v>
      </c>
      <c r="Q23" s="38">
        <v>0.2565</v>
      </c>
      <c r="R23" s="39">
        <v>1.5596</v>
      </c>
      <c r="S23" s="40" t="s">
        <v>571</v>
      </c>
      <c r="T23" s="54">
        <v>0.0</v>
      </c>
      <c r="U23" s="55">
        <v>8.1607</v>
      </c>
      <c r="V23" s="37" t="s">
        <v>572</v>
      </c>
      <c r="W23" s="38">
        <v>0.3065</v>
      </c>
      <c r="X23" s="39">
        <v>2.2278</v>
      </c>
      <c r="Y23" s="40" t="s">
        <v>573</v>
      </c>
      <c r="Z23" s="54">
        <v>0.001563</v>
      </c>
      <c r="AA23" s="55">
        <v>16.9804</v>
      </c>
      <c r="AB23" s="53"/>
      <c r="AC23" s="53"/>
      <c r="AD23" s="53"/>
      <c r="AE23" s="58"/>
      <c r="AF23" s="58"/>
      <c r="AG23" s="58"/>
      <c r="AH23" s="57"/>
      <c r="AI23" s="57"/>
      <c r="AJ23" s="57"/>
    </row>
    <row r="24" ht="15.75" customHeight="1">
      <c r="A24" s="36">
        <f t="shared" si="1"/>
        <v>19</v>
      </c>
      <c r="B24" s="17" t="s">
        <v>441</v>
      </c>
      <c r="C24" s="17" t="s">
        <v>459</v>
      </c>
      <c r="D24" s="37" t="s">
        <v>574</v>
      </c>
      <c r="E24" s="38">
        <v>0.0013</v>
      </c>
      <c r="F24" s="39">
        <v>1.8515</v>
      </c>
      <c r="G24" s="40" t="s">
        <v>575</v>
      </c>
      <c r="H24" s="54">
        <v>7.61E-4</v>
      </c>
      <c r="I24" s="54">
        <v>7.6789</v>
      </c>
      <c r="J24" s="37" t="s">
        <v>576</v>
      </c>
      <c r="K24" s="38">
        <v>0.0344</v>
      </c>
      <c r="L24" s="39">
        <v>0.8403</v>
      </c>
      <c r="M24" s="40" t="s">
        <v>577</v>
      </c>
      <c r="N24" s="54">
        <v>0.001555</v>
      </c>
      <c r="O24" s="55">
        <v>10.2119</v>
      </c>
      <c r="P24" s="37" t="s">
        <v>578</v>
      </c>
      <c r="Q24" s="38">
        <v>0.0634</v>
      </c>
      <c r="R24" s="39">
        <v>1.0866</v>
      </c>
      <c r="S24" s="40" t="s">
        <v>579</v>
      </c>
      <c r="T24" s="54">
        <v>0.003028</v>
      </c>
      <c r="U24" s="55">
        <v>22.4894</v>
      </c>
      <c r="V24" s="37" t="s">
        <v>580</v>
      </c>
      <c r="W24" s="38">
        <v>0.0584</v>
      </c>
      <c r="X24" s="39">
        <v>1.672</v>
      </c>
      <c r="Y24" s="40" t="s">
        <v>581</v>
      </c>
      <c r="Z24" s="54">
        <v>0.009332</v>
      </c>
      <c r="AA24" s="55">
        <v>30.1106</v>
      </c>
      <c r="AB24" s="53"/>
      <c r="AC24" s="53"/>
      <c r="AD24" s="53"/>
      <c r="AE24" s="58"/>
      <c r="AF24" s="58"/>
      <c r="AG24" s="58"/>
      <c r="AH24" s="57"/>
      <c r="AI24" s="57"/>
      <c r="AJ24" s="57"/>
    </row>
    <row r="25" ht="15.75" customHeight="1">
      <c r="A25" s="36">
        <f t="shared" si="1"/>
        <v>20</v>
      </c>
      <c r="B25" s="17" t="s">
        <v>441</v>
      </c>
      <c r="C25" s="17" t="s">
        <v>468</v>
      </c>
      <c r="D25" s="37" t="s">
        <v>582</v>
      </c>
      <c r="E25" s="38">
        <v>0.0044</v>
      </c>
      <c r="F25" s="39">
        <v>1.7955</v>
      </c>
      <c r="G25" s="40" t="s">
        <v>583</v>
      </c>
      <c r="H25" s="54">
        <v>1.0E-4</v>
      </c>
      <c r="I25" s="54">
        <v>1.67</v>
      </c>
      <c r="J25" s="37" t="s">
        <v>584</v>
      </c>
      <c r="K25" s="38">
        <v>0.0803</v>
      </c>
      <c r="L25" s="39">
        <v>0.6388</v>
      </c>
      <c r="M25" s="40" t="s">
        <v>585</v>
      </c>
      <c r="N25" s="54">
        <v>4.36E-4</v>
      </c>
      <c r="O25" s="55">
        <v>2.0723</v>
      </c>
      <c r="P25" s="37" t="s">
        <v>586</v>
      </c>
      <c r="Q25" s="38">
        <v>0.0833</v>
      </c>
      <c r="R25" s="39">
        <v>0.8366</v>
      </c>
      <c r="S25" s="40" t="s">
        <v>587</v>
      </c>
      <c r="T25" s="54">
        <v>7.75E-4</v>
      </c>
      <c r="U25" s="55">
        <v>2.5582</v>
      </c>
      <c r="V25" s="37" t="s">
        <v>588</v>
      </c>
      <c r="W25" s="38">
        <v>0.0907</v>
      </c>
      <c r="X25" s="39">
        <v>1.0195</v>
      </c>
      <c r="Y25" s="40" t="s">
        <v>589</v>
      </c>
      <c r="Z25" s="54">
        <v>0.001184</v>
      </c>
      <c r="AA25" s="55">
        <v>3.5834</v>
      </c>
      <c r="AB25" s="53"/>
      <c r="AC25" s="53"/>
      <c r="AD25" s="53"/>
      <c r="AE25" s="58"/>
      <c r="AF25" s="58"/>
      <c r="AG25" s="58"/>
      <c r="AH25" s="57"/>
      <c r="AI25" s="57"/>
      <c r="AJ25" s="57"/>
    </row>
    <row r="26" ht="15.75" customHeight="1">
      <c r="A26" s="36">
        <f t="shared" si="1"/>
        <v>21</v>
      </c>
      <c r="B26" s="17" t="s">
        <v>441</v>
      </c>
      <c r="C26" s="17" t="s">
        <v>477</v>
      </c>
      <c r="D26" s="37" t="s">
        <v>590</v>
      </c>
      <c r="E26" s="38">
        <v>0.0072</v>
      </c>
      <c r="F26" s="39">
        <v>2.0235</v>
      </c>
      <c r="G26" s="40" t="s">
        <v>591</v>
      </c>
      <c r="H26" s="54">
        <v>2.01E-4</v>
      </c>
      <c r="I26" s="54">
        <v>0.9274</v>
      </c>
      <c r="J26" s="37" t="s">
        <v>592</v>
      </c>
      <c r="K26" s="38">
        <v>0.0615</v>
      </c>
      <c r="L26" s="39">
        <v>0.6089</v>
      </c>
      <c r="M26" s="40" t="s">
        <v>593</v>
      </c>
      <c r="N26" s="54">
        <v>4.77E-4</v>
      </c>
      <c r="O26" s="55">
        <v>0.879</v>
      </c>
      <c r="P26" s="37" t="s">
        <v>594</v>
      </c>
      <c r="Q26" s="38">
        <v>0.0729</v>
      </c>
      <c r="R26" s="39">
        <v>0.7918</v>
      </c>
      <c r="S26" s="40" t="s">
        <v>595</v>
      </c>
      <c r="T26" s="54">
        <v>0.001082</v>
      </c>
      <c r="U26" s="55">
        <v>1.1063</v>
      </c>
      <c r="V26" s="37" t="s">
        <v>596</v>
      </c>
      <c r="W26" s="38">
        <v>0.0917</v>
      </c>
      <c r="X26" s="39">
        <v>1.1591</v>
      </c>
      <c r="Y26" s="40" t="s">
        <v>597</v>
      </c>
      <c r="Z26" s="54">
        <v>0.001699</v>
      </c>
      <c r="AA26" s="55">
        <v>1.2936</v>
      </c>
      <c r="AB26" s="53"/>
      <c r="AC26" s="53"/>
      <c r="AD26" s="53"/>
      <c r="AE26" s="58"/>
      <c r="AF26" s="58"/>
      <c r="AG26" s="58"/>
      <c r="AH26" s="57"/>
      <c r="AI26" s="57"/>
      <c r="AJ26" s="57"/>
    </row>
    <row r="27" ht="15.75" customHeight="1">
      <c r="A27" s="36">
        <f t="shared" si="1"/>
        <v>22</v>
      </c>
      <c r="B27" s="17" t="s">
        <v>450</v>
      </c>
      <c r="C27" s="17" t="s">
        <v>423</v>
      </c>
      <c r="D27" s="37" t="s">
        <v>598</v>
      </c>
      <c r="E27" s="38">
        <v>0.0</v>
      </c>
      <c r="F27" s="39">
        <v>0.0344</v>
      </c>
      <c r="G27" s="40" t="s">
        <v>599</v>
      </c>
      <c r="H27" s="54">
        <v>0.061487</v>
      </c>
      <c r="I27" s="54">
        <v>30.0302</v>
      </c>
      <c r="J27" s="37" t="s">
        <v>600</v>
      </c>
      <c r="K27" s="38">
        <v>0.1258</v>
      </c>
      <c r="L27" s="39">
        <v>3.0773</v>
      </c>
      <c r="M27" s="40" t="s">
        <v>601</v>
      </c>
      <c r="N27" s="54">
        <v>0.0</v>
      </c>
      <c r="O27" s="55">
        <v>21.3896</v>
      </c>
      <c r="P27" s="37" t="s">
        <v>602</v>
      </c>
      <c r="Q27" s="38">
        <v>0.1803</v>
      </c>
      <c r="R27" s="39">
        <v>3.2603</v>
      </c>
      <c r="S27" s="40" t="s">
        <v>603</v>
      </c>
      <c r="T27" s="54">
        <v>0.0</v>
      </c>
      <c r="U27" s="55">
        <v>28.006</v>
      </c>
      <c r="V27" s="37" t="s">
        <v>604</v>
      </c>
      <c r="W27" s="38">
        <v>0.1986</v>
      </c>
      <c r="X27" s="39">
        <v>3.7843</v>
      </c>
      <c r="Y27" s="40" t="s">
        <v>605</v>
      </c>
      <c r="Z27" s="54">
        <v>0.004015</v>
      </c>
      <c r="AA27" s="55">
        <v>30.2631</v>
      </c>
      <c r="AB27" s="53"/>
      <c r="AC27" s="53"/>
      <c r="AD27" s="53"/>
      <c r="AE27" s="58"/>
      <c r="AF27" s="58"/>
      <c r="AG27" s="58"/>
      <c r="AH27" s="57"/>
      <c r="AI27" s="57"/>
      <c r="AJ27" s="57"/>
    </row>
    <row r="28" ht="15.75" customHeight="1">
      <c r="A28" s="36">
        <f t="shared" si="1"/>
        <v>23</v>
      </c>
      <c r="B28" s="17" t="s">
        <v>450</v>
      </c>
      <c r="C28" s="17" t="s">
        <v>432</v>
      </c>
      <c r="D28" s="37" t="s">
        <v>606</v>
      </c>
      <c r="E28" s="38">
        <v>0.0</v>
      </c>
      <c r="F28" s="39">
        <v>0.0245</v>
      </c>
      <c r="G28" s="40" t="s">
        <v>607</v>
      </c>
      <c r="H28" s="54">
        <v>0.068059</v>
      </c>
      <c r="I28" s="54">
        <v>30.0659</v>
      </c>
      <c r="J28" s="37" t="s">
        <v>608</v>
      </c>
      <c r="K28" s="38">
        <v>0.1996</v>
      </c>
      <c r="L28" s="39">
        <v>1.5558</v>
      </c>
      <c r="M28" s="40" t="s">
        <v>609</v>
      </c>
      <c r="N28" s="54">
        <v>0.0</v>
      </c>
      <c r="O28" s="55">
        <v>9.6819</v>
      </c>
      <c r="P28" s="37" t="s">
        <v>610</v>
      </c>
      <c r="Q28" s="38">
        <v>0.2129</v>
      </c>
      <c r="R28" s="39">
        <v>1.8435</v>
      </c>
      <c r="S28" s="40" t="s">
        <v>611</v>
      </c>
      <c r="T28" s="54">
        <v>0.0</v>
      </c>
      <c r="U28" s="55">
        <v>14.985</v>
      </c>
      <c r="V28" s="37" t="s">
        <v>612</v>
      </c>
      <c r="W28" s="38">
        <v>0.1599</v>
      </c>
      <c r="X28" s="39">
        <v>2.6588</v>
      </c>
      <c r="Y28" s="40" t="s">
        <v>613</v>
      </c>
      <c r="Z28" s="54">
        <v>0.0</v>
      </c>
      <c r="AA28" s="55">
        <v>19.1958</v>
      </c>
      <c r="AB28" s="53"/>
      <c r="AC28" s="53"/>
      <c r="AD28" s="53"/>
      <c r="AE28" s="58"/>
      <c r="AF28" s="58"/>
      <c r="AG28" s="58"/>
      <c r="AH28" s="57"/>
      <c r="AI28" s="57"/>
      <c r="AJ28" s="57"/>
    </row>
    <row r="29" ht="15.75" customHeight="1">
      <c r="A29" s="36">
        <f t="shared" si="1"/>
        <v>24</v>
      </c>
      <c r="B29" s="17" t="s">
        <v>450</v>
      </c>
      <c r="C29" s="17" t="s">
        <v>441</v>
      </c>
      <c r="D29" s="37" t="s">
        <v>614</v>
      </c>
      <c r="E29" s="38">
        <v>0.0</v>
      </c>
      <c r="F29" s="39">
        <v>0.6619</v>
      </c>
      <c r="G29" s="40" t="s">
        <v>615</v>
      </c>
      <c r="H29" s="54">
        <v>0.065485</v>
      </c>
      <c r="I29" s="54">
        <v>30.0674</v>
      </c>
      <c r="J29" s="37" t="s">
        <v>616</v>
      </c>
      <c r="K29" s="38">
        <v>0.1711</v>
      </c>
      <c r="L29" s="39">
        <v>1.6924</v>
      </c>
      <c r="M29" s="40" t="s">
        <v>617</v>
      </c>
      <c r="N29" s="54">
        <v>0.0</v>
      </c>
      <c r="O29" s="55">
        <v>9.5221</v>
      </c>
      <c r="P29" s="37" t="s">
        <v>618</v>
      </c>
      <c r="Q29" s="38">
        <v>0.2543</v>
      </c>
      <c r="R29" s="39">
        <v>1.8161</v>
      </c>
      <c r="S29" s="40" t="s">
        <v>619</v>
      </c>
      <c r="T29" s="54">
        <v>0.0</v>
      </c>
      <c r="U29" s="55">
        <v>12.973</v>
      </c>
      <c r="V29" s="37" t="s">
        <v>620</v>
      </c>
      <c r="W29" s="38">
        <v>0.2547</v>
      </c>
      <c r="X29" s="39">
        <v>2.489</v>
      </c>
      <c r="Y29" s="40" t="s">
        <v>621</v>
      </c>
      <c r="Z29" s="54">
        <v>0.0</v>
      </c>
      <c r="AA29" s="55">
        <v>18.3589</v>
      </c>
      <c r="AB29" s="53"/>
      <c r="AC29" s="53"/>
      <c r="AD29" s="53"/>
      <c r="AE29" s="58"/>
      <c r="AF29" s="58"/>
      <c r="AG29" s="58"/>
      <c r="AH29" s="57"/>
      <c r="AI29" s="57"/>
      <c r="AJ29" s="57"/>
    </row>
    <row r="30" ht="15.75" customHeight="1">
      <c r="A30" s="36">
        <f t="shared" si="1"/>
        <v>25</v>
      </c>
      <c r="B30" s="17" t="s">
        <v>450</v>
      </c>
      <c r="C30" s="17" t="s">
        <v>450</v>
      </c>
      <c r="D30" s="37" t="s">
        <v>622</v>
      </c>
      <c r="E30" s="38">
        <v>0.0</v>
      </c>
      <c r="F30" s="39">
        <v>0.1681</v>
      </c>
      <c r="G30" s="40" t="s">
        <v>623</v>
      </c>
      <c r="H30" s="54">
        <v>0.066749</v>
      </c>
      <c r="I30" s="54">
        <v>30.0419</v>
      </c>
      <c r="J30" s="37" t="s">
        <v>624</v>
      </c>
      <c r="K30" s="38">
        <v>0.165</v>
      </c>
      <c r="L30" s="39">
        <v>1.4017</v>
      </c>
      <c r="M30" s="40" t="s">
        <v>625</v>
      </c>
      <c r="N30" s="54">
        <v>0.0</v>
      </c>
      <c r="O30" s="55">
        <v>6.6054</v>
      </c>
      <c r="P30" s="37" t="s">
        <v>626</v>
      </c>
      <c r="Q30" s="38">
        <v>0.2383</v>
      </c>
      <c r="R30" s="39">
        <v>1.4765</v>
      </c>
      <c r="S30" s="40" t="s">
        <v>627</v>
      </c>
      <c r="T30" s="54">
        <v>0.0</v>
      </c>
      <c r="U30" s="55">
        <v>8.218</v>
      </c>
      <c r="V30" s="37" t="s">
        <v>628</v>
      </c>
      <c r="W30" s="38">
        <v>0.2826</v>
      </c>
      <c r="X30" s="39">
        <v>2.0553</v>
      </c>
      <c r="Y30" s="40" t="s">
        <v>629</v>
      </c>
      <c r="Z30" s="54">
        <v>0.0</v>
      </c>
      <c r="AA30" s="55">
        <v>13.1419</v>
      </c>
      <c r="AB30" s="53"/>
      <c r="AC30" s="53"/>
      <c r="AD30" s="53"/>
      <c r="AE30" s="58"/>
      <c r="AF30" s="58"/>
      <c r="AG30" s="58"/>
      <c r="AH30" s="57"/>
      <c r="AI30" s="57"/>
      <c r="AJ30" s="57"/>
    </row>
    <row r="31" ht="15.75" customHeight="1">
      <c r="A31" s="36">
        <f t="shared" si="1"/>
        <v>26</v>
      </c>
      <c r="B31" s="17" t="s">
        <v>450</v>
      </c>
      <c r="C31" s="17" t="s">
        <v>459</v>
      </c>
      <c r="D31" s="37" t="s">
        <v>630</v>
      </c>
      <c r="E31" s="38">
        <v>0.0017</v>
      </c>
      <c r="F31" s="39">
        <v>1.7792</v>
      </c>
      <c r="G31" s="40" t="s">
        <v>631</v>
      </c>
      <c r="H31" s="54">
        <v>7.61E-4</v>
      </c>
      <c r="I31" s="54">
        <v>5.7589</v>
      </c>
      <c r="J31" s="37" t="s">
        <v>632</v>
      </c>
      <c r="K31" s="38">
        <v>0.0344</v>
      </c>
      <c r="L31" s="39">
        <v>0.7058</v>
      </c>
      <c r="M31" s="40" t="s">
        <v>633</v>
      </c>
      <c r="N31" s="54">
        <v>0.001555</v>
      </c>
      <c r="O31" s="55">
        <v>3.5439</v>
      </c>
      <c r="P31" s="37" t="s">
        <v>634</v>
      </c>
      <c r="Q31" s="38">
        <v>0.0675</v>
      </c>
      <c r="R31" s="39">
        <v>1.0245</v>
      </c>
      <c r="S31" s="40" t="s">
        <v>635</v>
      </c>
      <c r="T31" s="54">
        <v>0.003028</v>
      </c>
      <c r="U31" s="55">
        <v>17.4422</v>
      </c>
      <c r="V31" s="37" t="s">
        <v>636</v>
      </c>
      <c r="W31" s="38">
        <v>0.0687</v>
      </c>
      <c r="X31" s="39">
        <v>1.4559</v>
      </c>
      <c r="Y31" s="40" t="s">
        <v>637</v>
      </c>
      <c r="Z31" s="54">
        <v>0.006976</v>
      </c>
      <c r="AA31" s="55">
        <v>31.5764</v>
      </c>
      <c r="AB31" s="53"/>
      <c r="AC31" s="53"/>
      <c r="AD31" s="53"/>
      <c r="AE31" s="58"/>
      <c r="AF31" s="58"/>
      <c r="AG31" s="58"/>
      <c r="AH31" s="57"/>
      <c r="AI31" s="57"/>
      <c r="AJ31" s="57"/>
    </row>
    <row r="32" ht="15.75" customHeight="1">
      <c r="A32" s="36">
        <f t="shared" si="1"/>
        <v>27</v>
      </c>
      <c r="B32" s="17" t="s">
        <v>450</v>
      </c>
      <c r="C32" s="17" t="s">
        <v>468</v>
      </c>
      <c r="D32" s="37" t="s">
        <v>638</v>
      </c>
      <c r="E32" s="38">
        <v>0.0044</v>
      </c>
      <c r="F32" s="39">
        <v>1.5569</v>
      </c>
      <c r="G32" s="40" t="s">
        <v>639</v>
      </c>
      <c r="H32" s="54">
        <v>1.0E-4</v>
      </c>
      <c r="I32" s="54">
        <v>1.9705</v>
      </c>
      <c r="J32" s="37" t="s">
        <v>640</v>
      </c>
      <c r="K32" s="38">
        <v>0.0786</v>
      </c>
      <c r="L32" s="39">
        <v>0.5369</v>
      </c>
      <c r="M32" s="40" t="s">
        <v>641</v>
      </c>
      <c r="N32" s="54">
        <v>4.36E-4</v>
      </c>
      <c r="O32" s="55">
        <v>2.0603</v>
      </c>
      <c r="P32" s="37" t="s">
        <v>642</v>
      </c>
      <c r="Q32" s="38">
        <v>0.086</v>
      </c>
      <c r="R32" s="39">
        <v>0.6055</v>
      </c>
      <c r="S32" s="40" t="s">
        <v>643</v>
      </c>
      <c r="T32" s="54">
        <v>8.45E-4</v>
      </c>
      <c r="U32" s="55">
        <v>2.7395</v>
      </c>
      <c r="V32" s="37" t="s">
        <v>644</v>
      </c>
      <c r="W32" s="38">
        <v>0.0891</v>
      </c>
      <c r="X32" s="39">
        <v>0.8886</v>
      </c>
      <c r="Y32" s="40" t="s">
        <v>645</v>
      </c>
      <c r="Z32" s="54">
        <v>0.001373</v>
      </c>
      <c r="AA32" s="55">
        <v>3.3712</v>
      </c>
      <c r="AB32" s="53"/>
      <c r="AC32" s="53"/>
      <c r="AD32" s="53"/>
      <c r="AE32" s="58"/>
      <c r="AF32" s="58"/>
      <c r="AG32" s="58"/>
      <c r="AH32" s="57"/>
      <c r="AI32" s="57"/>
      <c r="AJ32" s="57"/>
    </row>
    <row r="33" ht="15.75" customHeight="1">
      <c r="A33" s="36">
        <f t="shared" si="1"/>
        <v>28</v>
      </c>
      <c r="B33" s="17" t="s">
        <v>450</v>
      </c>
      <c r="C33" s="17" t="s">
        <v>477</v>
      </c>
      <c r="D33" s="37" t="s">
        <v>646</v>
      </c>
      <c r="E33" s="38">
        <v>0.0072</v>
      </c>
      <c r="F33" s="39">
        <v>1.6511</v>
      </c>
      <c r="G33" s="40" t="s">
        <v>647</v>
      </c>
      <c r="H33" s="54">
        <v>2.01E-4</v>
      </c>
      <c r="I33" s="54">
        <v>0.9119</v>
      </c>
      <c r="J33" s="37" t="s">
        <v>648</v>
      </c>
      <c r="K33" s="38">
        <v>0.0571</v>
      </c>
      <c r="L33" s="39">
        <v>0.5871</v>
      </c>
      <c r="M33" s="40" t="s">
        <v>649</v>
      </c>
      <c r="N33" s="54">
        <v>4.77E-4</v>
      </c>
      <c r="O33" s="55">
        <v>0.8702</v>
      </c>
      <c r="P33" s="37" t="s">
        <v>650</v>
      </c>
      <c r="Q33" s="38">
        <v>0.0762</v>
      </c>
      <c r="R33" s="39">
        <v>0.7031</v>
      </c>
      <c r="S33" s="40" t="s">
        <v>651</v>
      </c>
      <c r="T33" s="54">
        <v>0.001082</v>
      </c>
      <c r="U33" s="55">
        <v>1.1455</v>
      </c>
      <c r="V33" s="37" t="s">
        <v>652</v>
      </c>
      <c r="W33" s="38">
        <v>0.0835</v>
      </c>
      <c r="X33" s="39">
        <v>1.0495</v>
      </c>
      <c r="Y33" s="40" t="s">
        <v>653</v>
      </c>
      <c r="Z33" s="54">
        <v>0.001699</v>
      </c>
      <c r="AA33" s="55">
        <v>1.345</v>
      </c>
      <c r="AB33" s="53"/>
      <c r="AC33" s="53"/>
      <c r="AD33" s="53"/>
      <c r="AE33" s="58"/>
      <c r="AF33" s="58"/>
      <c r="AG33" s="58"/>
      <c r="AH33" s="57"/>
      <c r="AI33" s="57"/>
      <c r="AJ33" s="57"/>
    </row>
    <row r="34" ht="15.75" customHeight="1">
      <c r="A34" s="36">
        <f t="shared" si="1"/>
        <v>29</v>
      </c>
      <c r="B34" s="17" t="s">
        <v>459</v>
      </c>
      <c r="C34" s="17" t="s">
        <v>423</v>
      </c>
      <c r="D34" s="37" t="s">
        <v>654</v>
      </c>
      <c r="E34" s="38">
        <v>0.0</v>
      </c>
      <c r="F34" s="39">
        <v>0.0277</v>
      </c>
      <c r="G34" s="40" t="s">
        <v>655</v>
      </c>
      <c r="H34" s="54">
        <v>0.05275</v>
      </c>
      <c r="I34" s="54">
        <v>30.0509</v>
      </c>
      <c r="J34" s="37" t="s">
        <v>656</v>
      </c>
      <c r="K34" s="38">
        <v>0.1113</v>
      </c>
      <c r="L34" s="39">
        <v>2.6014</v>
      </c>
      <c r="M34" s="40" t="s">
        <v>657</v>
      </c>
      <c r="N34" s="54">
        <v>0.0</v>
      </c>
      <c r="O34" s="55">
        <v>16.1645</v>
      </c>
      <c r="P34" s="37" t="s">
        <v>658</v>
      </c>
      <c r="Q34" s="38">
        <v>0.1276</v>
      </c>
      <c r="R34" s="39">
        <v>2.5155</v>
      </c>
      <c r="S34" s="40" t="s">
        <v>659</v>
      </c>
      <c r="T34" s="54">
        <v>0.0</v>
      </c>
      <c r="U34" s="55">
        <v>28.8158</v>
      </c>
      <c r="V34" s="37" t="s">
        <v>660</v>
      </c>
      <c r="W34" s="38">
        <v>0.1555</v>
      </c>
      <c r="X34" s="39">
        <v>2.8729</v>
      </c>
      <c r="Y34" s="40" t="s">
        <v>661</v>
      </c>
      <c r="Z34" s="54">
        <v>0.0</v>
      </c>
      <c r="AA34" s="55">
        <v>30.0326</v>
      </c>
      <c r="AB34" s="53"/>
      <c r="AC34" s="53"/>
      <c r="AD34" s="53"/>
      <c r="AE34" s="58"/>
      <c r="AF34" s="58"/>
      <c r="AG34" s="58"/>
      <c r="AH34" s="57"/>
      <c r="AI34" s="57"/>
      <c r="AJ34" s="57"/>
    </row>
    <row r="35" ht="15.75" customHeight="1">
      <c r="A35" s="36">
        <f t="shared" si="1"/>
        <v>30</v>
      </c>
      <c r="B35" s="17" t="s">
        <v>459</v>
      </c>
      <c r="C35" s="17" t="s">
        <v>432</v>
      </c>
      <c r="D35" s="37" t="s">
        <v>662</v>
      </c>
      <c r="E35" s="38">
        <v>0.0</v>
      </c>
      <c r="F35" s="39">
        <v>0.0201</v>
      </c>
      <c r="G35" s="40" t="s">
        <v>663</v>
      </c>
      <c r="H35" s="54">
        <v>0.055247</v>
      </c>
      <c r="I35" s="54">
        <v>30.0425</v>
      </c>
      <c r="J35" s="37" t="s">
        <v>664</v>
      </c>
      <c r="K35" s="38">
        <v>0.0844</v>
      </c>
      <c r="L35" s="39">
        <v>1.3542</v>
      </c>
      <c r="M35" s="40" t="s">
        <v>665</v>
      </c>
      <c r="N35" s="54">
        <v>0.0</v>
      </c>
      <c r="O35" s="55">
        <v>8.1879</v>
      </c>
      <c r="P35" s="37" t="s">
        <v>666</v>
      </c>
      <c r="Q35" s="38">
        <v>0.153</v>
      </c>
      <c r="R35" s="39">
        <v>1.3149</v>
      </c>
      <c r="S35" s="40" t="s">
        <v>667</v>
      </c>
      <c r="T35" s="54">
        <v>0.0</v>
      </c>
      <c r="U35" s="55">
        <v>10.3397</v>
      </c>
      <c r="V35" s="37" t="s">
        <v>668</v>
      </c>
      <c r="W35" s="38">
        <v>0.1675</v>
      </c>
      <c r="X35" s="39">
        <v>1.7873</v>
      </c>
      <c r="Y35" s="40" t="s">
        <v>669</v>
      </c>
      <c r="Z35" s="54">
        <v>0.0</v>
      </c>
      <c r="AA35" s="55">
        <v>17.601</v>
      </c>
      <c r="AB35" s="53"/>
      <c r="AC35" s="53"/>
      <c r="AD35" s="53"/>
      <c r="AE35" s="58"/>
      <c r="AF35" s="58"/>
      <c r="AG35" s="58"/>
      <c r="AH35" s="57"/>
      <c r="AI35" s="57"/>
      <c r="AJ35" s="57"/>
    </row>
    <row r="36" ht="15.75" customHeight="1">
      <c r="A36" s="36">
        <f t="shared" si="1"/>
        <v>31</v>
      </c>
      <c r="B36" s="17" t="s">
        <v>459</v>
      </c>
      <c r="C36" s="17" t="s">
        <v>441</v>
      </c>
      <c r="D36" s="37" t="s">
        <v>670</v>
      </c>
      <c r="E36" s="38">
        <v>0.0</v>
      </c>
      <c r="F36" s="39">
        <v>0.191</v>
      </c>
      <c r="G36" s="40" t="s">
        <v>671</v>
      </c>
      <c r="H36" s="54">
        <v>0.045235</v>
      </c>
      <c r="I36" s="54">
        <v>30.023</v>
      </c>
      <c r="J36" s="37" t="s">
        <v>672</v>
      </c>
      <c r="K36" s="38">
        <v>0.0735</v>
      </c>
      <c r="L36" s="39">
        <v>1.2864</v>
      </c>
      <c r="M36" s="40" t="s">
        <v>673</v>
      </c>
      <c r="N36" s="54">
        <v>0.0</v>
      </c>
      <c r="O36" s="55">
        <v>5.4082</v>
      </c>
      <c r="P36" s="37" t="s">
        <v>674</v>
      </c>
      <c r="Q36" s="38">
        <v>0.1474</v>
      </c>
      <c r="R36" s="39">
        <v>1.3674</v>
      </c>
      <c r="S36" s="40" t="s">
        <v>675</v>
      </c>
      <c r="T36" s="54">
        <v>0.0</v>
      </c>
      <c r="U36" s="55">
        <v>3.8915</v>
      </c>
      <c r="V36" s="37" t="s">
        <v>676</v>
      </c>
      <c r="W36" s="38">
        <v>0.1808</v>
      </c>
      <c r="X36" s="39">
        <v>1.9564</v>
      </c>
      <c r="Y36" s="40" t="s">
        <v>677</v>
      </c>
      <c r="Z36" s="54">
        <v>0.0</v>
      </c>
      <c r="AA36" s="55">
        <v>10.3802</v>
      </c>
      <c r="AB36" s="53"/>
      <c r="AC36" s="53"/>
      <c r="AD36" s="53"/>
      <c r="AE36" s="58"/>
      <c r="AF36" s="58"/>
      <c r="AG36" s="58"/>
      <c r="AH36" s="57"/>
      <c r="AI36" s="57"/>
      <c r="AJ36" s="57"/>
    </row>
    <row r="37" ht="15.75" customHeight="1">
      <c r="A37" s="36">
        <f t="shared" si="1"/>
        <v>32</v>
      </c>
      <c r="B37" s="17" t="s">
        <v>459</v>
      </c>
      <c r="C37" s="17" t="s">
        <v>450</v>
      </c>
      <c r="D37" s="37" t="s">
        <v>678</v>
      </c>
      <c r="E37" s="38">
        <v>0.0</v>
      </c>
      <c r="F37" s="39">
        <v>0.1528</v>
      </c>
      <c r="G37" s="40" t="s">
        <v>679</v>
      </c>
      <c r="H37" s="54">
        <v>0.051505</v>
      </c>
      <c r="I37" s="54">
        <v>30.0509</v>
      </c>
      <c r="J37" s="37" t="s">
        <v>680</v>
      </c>
      <c r="K37" s="38">
        <v>0.1403</v>
      </c>
      <c r="L37" s="39">
        <v>0.9167</v>
      </c>
      <c r="M37" s="40" t="s">
        <v>681</v>
      </c>
      <c r="N37" s="54">
        <v>0.0</v>
      </c>
      <c r="O37" s="55">
        <v>4.8313</v>
      </c>
      <c r="P37" s="37" t="s">
        <v>682</v>
      </c>
      <c r="Q37" s="38">
        <v>0.1229</v>
      </c>
      <c r="R37" s="39">
        <v>1.061</v>
      </c>
      <c r="S37" s="40" t="s">
        <v>683</v>
      </c>
      <c r="T37" s="54">
        <v>0.0</v>
      </c>
      <c r="U37" s="55">
        <v>6.2967</v>
      </c>
      <c r="V37" s="37" t="s">
        <v>684</v>
      </c>
      <c r="W37" s="38">
        <v>0.1882</v>
      </c>
      <c r="X37" s="39">
        <v>1.6442</v>
      </c>
      <c r="Y37" s="40" t="s">
        <v>685</v>
      </c>
      <c r="Z37" s="54">
        <v>9.77E-4</v>
      </c>
      <c r="AA37" s="55">
        <v>9.8968</v>
      </c>
      <c r="AB37" s="53"/>
      <c r="AC37" s="53"/>
      <c r="AD37" s="53"/>
      <c r="AE37" s="58"/>
      <c r="AF37" s="58"/>
      <c r="AG37" s="58"/>
      <c r="AH37" s="57"/>
      <c r="AI37" s="57"/>
      <c r="AJ37" s="57"/>
    </row>
    <row r="38" ht="15.75" customHeight="1">
      <c r="A38" s="36">
        <f t="shared" si="1"/>
        <v>33</v>
      </c>
      <c r="B38" s="17" t="s">
        <v>459</v>
      </c>
      <c r="C38" s="17" t="s">
        <v>459</v>
      </c>
      <c r="D38" s="37" t="s">
        <v>686</v>
      </c>
      <c r="E38" s="38">
        <v>0.0017</v>
      </c>
      <c r="F38" s="39">
        <v>1.082</v>
      </c>
      <c r="G38" s="40" t="s">
        <v>687</v>
      </c>
      <c r="H38" s="54">
        <v>7.61E-4</v>
      </c>
      <c r="I38" s="54">
        <v>5.8032</v>
      </c>
      <c r="J38" s="37" t="s">
        <v>688</v>
      </c>
      <c r="K38" s="38">
        <v>0.0245</v>
      </c>
      <c r="L38" s="39">
        <v>0.5325</v>
      </c>
      <c r="M38" s="40" t="s">
        <v>689</v>
      </c>
      <c r="N38" s="54">
        <v>0.001555</v>
      </c>
      <c r="O38" s="55">
        <v>6.5833</v>
      </c>
      <c r="P38" s="37" t="s">
        <v>690</v>
      </c>
      <c r="Q38" s="38">
        <v>0.0173</v>
      </c>
      <c r="R38" s="39">
        <v>0.6735</v>
      </c>
      <c r="S38" s="40" t="s">
        <v>691</v>
      </c>
      <c r="T38" s="54">
        <v>0.003394</v>
      </c>
      <c r="U38" s="55">
        <v>16.1302</v>
      </c>
      <c r="V38" s="37" t="s">
        <v>692</v>
      </c>
      <c r="W38" s="38">
        <v>0.018</v>
      </c>
      <c r="X38" s="39">
        <v>0.9999</v>
      </c>
      <c r="Y38" s="40" t="s">
        <v>693</v>
      </c>
      <c r="Z38" s="54">
        <v>0.005827</v>
      </c>
      <c r="AA38" s="55">
        <v>20.9845</v>
      </c>
      <c r="AB38" s="53"/>
      <c r="AC38" s="53"/>
      <c r="AD38" s="53"/>
      <c r="AE38" s="58"/>
      <c r="AF38" s="58"/>
      <c r="AG38" s="58"/>
      <c r="AH38" s="57"/>
      <c r="AI38" s="57"/>
      <c r="AJ38" s="57"/>
    </row>
    <row r="39" ht="15.75" customHeight="1">
      <c r="A39" s="36">
        <f t="shared" si="1"/>
        <v>34</v>
      </c>
      <c r="B39" s="17" t="s">
        <v>459</v>
      </c>
      <c r="C39" s="17" t="s">
        <v>468</v>
      </c>
      <c r="D39" s="37" t="s">
        <v>694</v>
      </c>
      <c r="E39" s="38">
        <v>0.0058</v>
      </c>
      <c r="F39" s="39">
        <v>0.8531</v>
      </c>
      <c r="G39" s="40" t="s">
        <v>695</v>
      </c>
      <c r="H39" s="54">
        <v>1.0E-4</v>
      </c>
      <c r="I39" s="54">
        <v>1.2968</v>
      </c>
      <c r="J39" s="37" t="s">
        <v>696</v>
      </c>
      <c r="K39" s="38">
        <v>0.0647</v>
      </c>
      <c r="L39" s="39">
        <v>0.2848</v>
      </c>
      <c r="M39" s="40" t="s">
        <v>697</v>
      </c>
      <c r="N39" s="54">
        <v>4.36E-4</v>
      </c>
      <c r="O39" s="55">
        <v>1.5768</v>
      </c>
      <c r="P39" s="37" t="s">
        <v>698</v>
      </c>
      <c r="Q39" s="38">
        <v>0.0681</v>
      </c>
      <c r="R39" s="39">
        <v>0.304</v>
      </c>
      <c r="S39" s="40" t="s">
        <v>699</v>
      </c>
      <c r="T39" s="54">
        <v>8.45E-4</v>
      </c>
      <c r="U39" s="55">
        <v>2.4305</v>
      </c>
      <c r="V39" s="37" t="s">
        <v>700</v>
      </c>
      <c r="W39" s="38">
        <v>0.0703</v>
      </c>
      <c r="X39" s="39">
        <v>0.5572</v>
      </c>
      <c r="Y39" s="40" t="s">
        <v>701</v>
      </c>
      <c r="Z39" s="54">
        <v>0.001414</v>
      </c>
      <c r="AA39" s="55">
        <v>2.9463</v>
      </c>
      <c r="AB39" s="53"/>
      <c r="AC39" s="53"/>
      <c r="AD39" s="53"/>
      <c r="AE39" s="58"/>
      <c r="AF39" s="58"/>
      <c r="AG39" s="58"/>
      <c r="AH39" s="57"/>
      <c r="AI39" s="57"/>
      <c r="AJ39" s="57"/>
    </row>
    <row r="40" ht="15.75" customHeight="1">
      <c r="A40" s="36">
        <f t="shared" si="1"/>
        <v>35</v>
      </c>
      <c r="B40" s="17" t="s">
        <v>459</v>
      </c>
      <c r="C40" s="17" t="s">
        <v>477</v>
      </c>
      <c r="D40" s="37" t="s">
        <v>702</v>
      </c>
      <c r="E40" s="38">
        <v>0.0072</v>
      </c>
      <c r="F40" s="39">
        <v>0.7742</v>
      </c>
      <c r="G40" s="40" t="s">
        <v>703</v>
      </c>
      <c r="H40" s="54">
        <v>2.76E-4</v>
      </c>
      <c r="I40" s="54">
        <v>0.7718</v>
      </c>
      <c r="J40" s="37" t="s">
        <v>704</v>
      </c>
      <c r="K40" s="38">
        <v>0.0268</v>
      </c>
      <c r="L40" s="39">
        <v>0.3557</v>
      </c>
      <c r="M40" s="40" t="s">
        <v>705</v>
      </c>
      <c r="N40" s="54">
        <v>8.93E-4</v>
      </c>
      <c r="O40" s="55">
        <v>0.8263</v>
      </c>
      <c r="P40" s="37" t="s">
        <v>706</v>
      </c>
      <c r="Q40" s="38">
        <v>0.0268</v>
      </c>
      <c r="R40" s="39">
        <v>0.4038</v>
      </c>
      <c r="S40" s="40" t="s">
        <v>707</v>
      </c>
      <c r="T40" s="54">
        <v>0.001671</v>
      </c>
      <c r="U40" s="55">
        <v>0.8628</v>
      </c>
      <c r="V40" s="37" t="s">
        <v>708</v>
      </c>
      <c r="W40" s="38">
        <v>0.0634</v>
      </c>
      <c r="X40" s="39">
        <v>0.6374</v>
      </c>
      <c r="Y40" s="40" t="s">
        <v>709</v>
      </c>
      <c r="Z40" s="54">
        <v>0.002477</v>
      </c>
      <c r="AA40" s="55">
        <v>0.9458</v>
      </c>
      <c r="AB40" s="53"/>
      <c r="AC40" s="53"/>
      <c r="AD40" s="53"/>
      <c r="AE40" s="58"/>
      <c r="AF40" s="58"/>
      <c r="AG40" s="58"/>
      <c r="AH40" s="57"/>
      <c r="AI40" s="57"/>
      <c r="AJ40" s="57"/>
    </row>
    <row r="41" ht="15.75" customHeight="1">
      <c r="A41" s="36">
        <f t="shared" si="1"/>
        <v>36</v>
      </c>
      <c r="B41" s="17" t="s">
        <v>468</v>
      </c>
      <c r="C41" s="17" t="s">
        <v>423</v>
      </c>
      <c r="D41" s="37" t="s">
        <v>710</v>
      </c>
      <c r="E41" s="38">
        <v>0.0</v>
      </c>
      <c r="F41" s="39">
        <v>0.0348</v>
      </c>
      <c r="G41" s="40" t="s">
        <v>711</v>
      </c>
      <c r="H41" s="54">
        <v>0.037038</v>
      </c>
      <c r="I41" s="54">
        <v>30.0214</v>
      </c>
      <c r="J41" s="37" t="s">
        <v>712</v>
      </c>
      <c r="K41" s="38">
        <v>0.022</v>
      </c>
      <c r="L41" s="39">
        <v>1.8829</v>
      </c>
      <c r="M41" s="40" t="s">
        <v>713</v>
      </c>
      <c r="N41" s="54">
        <v>0.0</v>
      </c>
      <c r="O41" s="55">
        <v>13.7537</v>
      </c>
      <c r="P41" s="37" t="s">
        <v>714</v>
      </c>
      <c r="Q41" s="38">
        <v>0.0904</v>
      </c>
      <c r="R41" s="39">
        <v>1.9209</v>
      </c>
      <c r="S41" s="40" t="s">
        <v>715</v>
      </c>
      <c r="T41" s="54">
        <v>0.0</v>
      </c>
      <c r="U41" s="55">
        <v>19.9302</v>
      </c>
      <c r="V41" s="37" t="s">
        <v>716</v>
      </c>
      <c r="W41" s="38">
        <v>0.1438</v>
      </c>
      <c r="X41" s="39">
        <v>2.3385</v>
      </c>
      <c r="Y41" s="40" t="s">
        <v>717</v>
      </c>
      <c r="Z41" s="54">
        <v>0.0</v>
      </c>
      <c r="AA41" s="55">
        <v>23.8291</v>
      </c>
      <c r="AB41" s="53"/>
      <c r="AC41" s="53"/>
      <c r="AD41" s="53"/>
      <c r="AE41" s="58"/>
      <c r="AF41" s="58"/>
      <c r="AG41" s="58"/>
      <c r="AH41" s="57"/>
      <c r="AI41" s="57"/>
      <c r="AJ41" s="57"/>
    </row>
    <row r="42" ht="15.75" customHeight="1">
      <c r="A42" s="36">
        <f t="shared" si="1"/>
        <v>37</v>
      </c>
      <c r="B42" s="17" t="s">
        <v>468</v>
      </c>
      <c r="C42" s="17" t="s">
        <v>432</v>
      </c>
      <c r="D42" s="37" t="s">
        <v>718</v>
      </c>
      <c r="E42" s="38">
        <v>0.0</v>
      </c>
      <c r="F42" s="39">
        <v>0.0192</v>
      </c>
      <c r="G42" s="40" t="s">
        <v>719</v>
      </c>
      <c r="H42" s="54">
        <v>0.045256</v>
      </c>
      <c r="I42" s="54">
        <v>30.0332</v>
      </c>
      <c r="J42" s="37" t="s">
        <v>720</v>
      </c>
      <c r="K42" s="38">
        <v>0.1054</v>
      </c>
      <c r="L42" s="39">
        <v>0.8903</v>
      </c>
      <c r="M42" s="40" t="s">
        <v>721</v>
      </c>
      <c r="N42" s="54">
        <v>0.0</v>
      </c>
      <c r="O42" s="55">
        <v>8.1529</v>
      </c>
      <c r="P42" s="37" t="s">
        <v>722</v>
      </c>
      <c r="Q42" s="38">
        <v>0.1092</v>
      </c>
      <c r="R42" s="39">
        <v>1.0983</v>
      </c>
      <c r="S42" s="40" t="s">
        <v>723</v>
      </c>
      <c r="T42" s="54">
        <v>0.0</v>
      </c>
      <c r="U42" s="55">
        <v>9.9082</v>
      </c>
      <c r="V42" s="37" t="s">
        <v>724</v>
      </c>
      <c r="W42" s="38">
        <v>0.1167</v>
      </c>
      <c r="X42" s="39">
        <v>1.3741</v>
      </c>
      <c r="Y42" s="40" t="s">
        <v>725</v>
      </c>
      <c r="Z42" s="54">
        <v>0.0</v>
      </c>
      <c r="AA42" s="55">
        <v>13.526</v>
      </c>
      <c r="AB42" s="53"/>
      <c r="AC42" s="53"/>
      <c r="AD42" s="53"/>
      <c r="AE42" s="58"/>
      <c r="AF42" s="58"/>
      <c r="AG42" s="58"/>
      <c r="AH42" s="57"/>
      <c r="AI42" s="57"/>
      <c r="AJ42" s="57"/>
    </row>
    <row r="43" ht="15.75" customHeight="1">
      <c r="A43" s="36">
        <f t="shared" si="1"/>
        <v>38</v>
      </c>
      <c r="B43" s="17" t="s">
        <v>468</v>
      </c>
      <c r="C43" s="17" t="s">
        <v>441</v>
      </c>
      <c r="D43" s="37" t="s">
        <v>726</v>
      </c>
      <c r="E43" s="38">
        <v>0.0</v>
      </c>
      <c r="F43" s="39">
        <v>0.152</v>
      </c>
      <c r="G43" s="40" t="s">
        <v>727</v>
      </c>
      <c r="H43" s="54">
        <v>0.0434</v>
      </c>
      <c r="I43" s="54">
        <v>30.0247</v>
      </c>
      <c r="J43" s="37" t="s">
        <v>728</v>
      </c>
      <c r="K43" s="38">
        <v>0.0261</v>
      </c>
      <c r="L43" s="39">
        <v>1.0592</v>
      </c>
      <c r="M43" s="40" t="s">
        <v>729</v>
      </c>
      <c r="N43" s="54">
        <v>0.0</v>
      </c>
      <c r="O43" s="55">
        <v>7.2437</v>
      </c>
      <c r="P43" s="37" t="s">
        <v>730</v>
      </c>
      <c r="Q43" s="38">
        <v>0.1315</v>
      </c>
      <c r="R43" s="39">
        <v>1.0556</v>
      </c>
      <c r="S43" s="40" t="s">
        <v>731</v>
      </c>
      <c r="T43" s="54">
        <v>0.0</v>
      </c>
      <c r="U43" s="55">
        <v>9.1774</v>
      </c>
      <c r="V43" s="37" t="s">
        <v>732</v>
      </c>
      <c r="W43" s="38">
        <v>0.1104</v>
      </c>
      <c r="X43" s="39">
        <v>1.3124</v>
      </c>
      <c r="Y43" s="40" t="s">
        <v>733</v>
      </c>
      <c r="Z43" s="54">
        <v>0.0</v>
      </c>
      <c r="AA43" s="55">
        <v>13.7865</v>
      </c>
      <c r="AB43" s="53"/>
      <c r="AC43" s="53"/>
      <c r="AD43" s="53"/>
      <c r="AE43" s="58"/>
      <c r="AF43" s="58"/>
      <c r="AG43" s="58"/>
      <c r="AH43" s="57"/>
      <c r="AI43" s="57"/>
      <c r="AJ43" s="57"/>
    </row>
    <row r="44" ht="15.75" customHeight="1">
      <c r="A44" s="36">
        <f t="shared" si="1"/>
        <v>39</v>
      </c>
      <c r="B44" s="17" t="s">
        <v>468</v>
      </c>
      <c r="C44" s="17" t="s">
        <v>450</v>
      </c>
      <c r="D44" s="37" t="s">
        <v>734</v>
      </c>
      <c r="E44" s="38">
        <v>0.0</v>
      </c>
      <c r="F44" s="39">
        <v>0.4304</v>
      </c>
      <c r="G44" s="40" t="s">
        <v>735</v>
      </c>
      <c r="H44" s="54">
        <v>0.040376</v>
      </c>
      <c r="I44" s="54">
        <v>30.0552</v>
      </c>
      <c r="J44" s="37" t="s">
        <v>736</v>
      </c>
      <c r="K44" s="38">
        <v>0.0268</v>
      </c>
      <c r="L44" s="39">
        <v>0.7114</v>
      </c>
      <c r="M44" s="40" t="s">
        <v>737</v>
      </c>
      <c r="N44" s="54">
        <v>0.0</v>
      </c>
      <c r="O44" s="55">
        <v>4.3971</v>
      </c>
      <c r="P44" s="37" t="s">
        <v>738</v>
      </c>
      <c r="Q44" s="38">
        <v>0.1136</v>
      </c>
      <c r="R44" s="39">
        <v>0.8723</v>
      </c>
      <c r="S44" s="40" t="s">
        <v>739</v>
      </c>
      <c r="T44" s="54">
        <v>0.0</v>
      </c>
      <c r="U44" s="55">
        <v>5.5363</v>
      </c>
      <c r="V44" s="37" t="s">
        <v>740</v>
      </c>
      <c r="W44" s="38">
        <v>0.1198</v>
      </c>
      <c r="X44" s="39">
        <v>1.1413</v>
      </c>
      <c r="Y44" s="40" t="s">
        <v>741</v>
      </c>
      <c r="Z44" s="54">
        <v>0.0</v>
      </c>
      <c r="AA44" s="55">
        <v>9.9371</v>
      </c>
      <c r="AB44" s="53"/>
      <c r="AC44" s="53"/>
      <c r="AD44" s="53"/>
      <c r="AE44" s="58"/>
      <c r="AF44" s="58"/>
      <c r="AG44" s="58"/>
      <c r="AH44" s="57"/>
      <c r="AI44" s="57"/>
      <c r="AJ44" s="57"/>
    </row>
    <row r="45" ht="15.75" customHeight="1">
      <c r="A45" s="36">
        <f t="shared" si="1"/>
        <v>40</v>
      </c>
      <c r="B45" s="17" t="s">
        <v>468</v>
      </c>
      <c r="C45" s="17" t="s">
        <v>459</v>
      </c>
      <c r="D45" s="37" t="s">
        <v>742</v>
      </c>
      <c r="E45" s="38">
        <v>0.0017</v>
      </c>
      <c r="F45" s="39">
        <v>0.7772</v>
      </c>
      <c r="G45" s="40" t="s">
        <v>743</v>
      </c>
      <c r="H45" s="54">
        <v>0.001511</v>
      </c>
      <c r="I45" s="54">
        <v>1.6337</v>
      </c>
      <c r="J45" s="37" t="s">
        <v>744</v>
      </c>
      <c r="K45" s="38">
        <v>0.0315</v>
      </c>
      <c r="L45" s="39">
        <v>0.364</v>
      </c>
      <c r="M45" s="40" t="s">
        <v>745</v>
      </c>
      <c r="N45" s="54">
        <v>0.002078</v>
      </c>
      <c r="O45" s="55">
        <v>1.8577</v>
      </c>
      <c r="P45" s="37" t="s">
        <v>746</v>
      </c>
      <c r="Q45" s="38">
        <v>0.0295</v>
      </c>
      <c r="R45" s="39">
        <v>0.4657</v>
      </c>
      <c r="S45" s="40" t="s">
        <v>747</v>
      </c>
      <c r="T45" s="54">
        <v>0.002078</v>
      </c>
      <c r="U45" s="55">
        <v>3.7237</v>
      </c>
      <c r="V45" s="37" t="s">
        <v>748</v>
      </c>
      <c r="W45" s="38">
        <v>0.0242</v>
      </c>
      <c r="X45" s="39">
        <v>0.6435</v>
      </c>
      <c r="Y45" s="40" t="s">
        <v>749</v>
      </c>
      <c r="Z45" s="54">
        <v>0.003174</v>
      </c>
      <c r="AA45" s="55">
        <v>5.5054</v>
      </c>
      <c r="AB45" s="53"/>
      <c r="AC45" s="53"/>
      <c r="AD45" s="53"/>
      <c r="AE45" s="58"/>
      <c r="AF45" s="58"/>
      <c r="AG45" s="58"/>
      <c r="AH45" s="57"/>
      <c r="AI45" s="57"/>
      <c r="AJ45" s="57"/>
    </row>
    <row r="46" ht="15.75" customHeight="1">
      <c r="A46" s="36">
        <f t="shared" si="1"/>
        <v>41</v>
      </c>
      <c r="B46" s="17" t="s">
        <v>468</v>
      </c>
      <c r="C46" s="17" t="s">
        <v>468</v>
      </c>
      <c r="D46" s="37" t="s">
        <v>750</v>
      </c>
      <c r="E46" s="38">
        <v>0.0054</v>
      </c>
      <c r="F46" s="39">
        <v>0.5141</v>
      </c>
      <c r="G46" s="40" t="s">
        <v>751</v>
      </c>
      <c r="H46" s="54">
        <v>3.36E-4</v>
      </c>
      <c r="I46" s="54">
        <v>0.2559</v>
      </c>
      <c r="J46" s="37" t="s">
        <v>752</v>
      </c>
      <c r="K46" s="38">
        <v>0.016</v>
      </c>
      <c r="L46" s="39">
        <v>0.2973</v>
      </c>
      <c r="M46" s="40" t="s">
        <v>753</v>
      </c>
      <c r="N46" s="54">
        <v>6.76E-4</v>
      </c>
      <c r="O46" s="55">
        <v>0.3147</v>
      </c>
      <c r="P46" s="37" t="s">
        <v>754</v>
      </c>
      <c r="Q46" s="38">
        <v>0.0334</v>
      </c>
      <c r="R46" s="39">
        <v>0.3489</v>
      </c>
      <c r="S46" s="40" t="s">
        <v>755</v>
      </c>
      <c r="T46" s="54">
        <v>0.001235</v>
      </c>
      <c r="U46" s="55">
        <v>0.4907</v>
      </c>
      <c r="V46" s="37" t="s">
        <v>756</v>
      </c>
      <c r="W46" s="38">
        <v>0.0475</v>
      </c>
      <c r="X46" s="39">
        <v>0.4699</v>
      </c>
      <c r="Y46" s="40" t="s">
        <v>757</v>
      </c>
      <c r="Z46" s="54">
        <v>0.00166</v>
      </c>
      <c r="AA46" s="55">
        <v>0.5139</v>
      </c>
      <c r="AB46" s="53"/>
      <c r="AC46" s="53"/>
      <c r="AD46" s="53"/>
      <c r="AE46" s="58"/>
      <c r="AF46" s="58"/>
      <c r="AG46" s="58"/>
      <c r="AH46" s="57"/>
      <c r="AI46" s="57"/>
      <c r="AJ46" s="57"/>
    </row>
    <row r="47" ht="15.75" customHeight="1">
      <c r="A47" s="36">
        <f t="shared" si="1"/>
        <v>42</v>
      </c>
      <c r="B47" s="17" t="s">
        <v>468</v>
      </c>
      <c r="C47" s="17" t="s">
        <v>477</v>
      </c>
      <c r="D47" s="37" t="s">
        <v>758</v>
      </c>
      <c r="E47" s="38">
        <v>0.0072</v>
      </c>
      <c r="F47" s="39">
        <v>0.4824</v>
      </c>
      <c r="G47" s="40" t="s">
        <v>759</v>
      </c>
      <c r="H47" s="54">
        <v>6.17E-4</v>
      </c>
      <c r="I47" s="54">
        <v>0.1301</v>
      </c>
      <c r="J47" s="37" t="s">
        <v>760</v>
      </c>
      <c r="K47" s="38">
        <v>0.0421</v>
      </c>
      <c r="L47" s="39">
        <v>0.2526</v>
      </c>
      <c r="M47" s="40" t="s">
        <v>761</v>
      </c>
      <c r="N47" s="54">
        <v>0.001568</v>
      </c>
      <c r="O47" s="55">
        <v>0.1285</v>
      </c>
      <c r="P47" s="37" t="s">
        <v>762</v>
      </c>
      <c r="Q47" s="38">
        <v>0.0504</v>
      </c>
      <c r="R47" s="39">
        <v>0.2306</v>
      </c>
      <c r="S47" s="40" t="s">
        <v>763</v>
      </c>
      <c r="T47" s="54">
        <v>0.002327</v>
      </c>
      <c r="U47" s="55">
        <v>0.2028</v>
      </c>
      <c r="V47" s="37" t="s">
        <v>764</v>
      </c>
      <c r="W47" s="38">
        <v>0.0529</v>
      </c>
      <c r="X47" s="39">
        <v>0.3943</v>
      </c>
      <c r="Y47" s="40" t="s">
        <v>765</v>
      </c>
      <c r="Z47" s="54">
        <v>0.003082</v>
      </c>
      <c r="AA47" s="55">
        <v>0.2614</v>
      </c>
      <c r="AB47" s="53"/>
      <c r="AC47" s="53"/>
      <c r="AD47" s="53"/>
      <c r="AE47" s="58"/>
      <c r="AF47" s="58"/>
      <c r="AG47" s="58"/>
      <c r="AH47" s="57"/>
      <c r="AI47" s="57"/>
      <c r="AJ47" s="57"/>
    </row>
    <row r="48" ht="15.75" customHeight="1">
      <c r="A48" s="36">
        <f t="shared" si="1"/>
        <v>43</v>
      </c>
      <c r="B48" s="17" t="s">
        <v>477</v>
      </c>
      <c r="C48" s="17" t="s">
        <v>423</v>
      </c>
      <c r="D48" s="37" t="s">
        <v>766</v>
      </c>
      <c r="E48" s="38">
        <v>0.0</v>
      </c>
      <c r="F48" s="39">
        <v>0.0322</v>
      </c>
      <c r="G48" s="40" t="s">
        <v>767</v>
      </c>
      <c r="H48" s="54">
        <v>0.034583</v>
      </c>
      <c r="I48" s="54">
        <v>30.0116</v>
      </c>
      <c r="J48" s="37" t="s">
        <v>768</v>
      </c>
      <c r="K48" s="38">
        <v>0.0614</v>
      </c>
      <c r="L48" s="39">
        <v>1.897</v>
      </c>
      <c r="M48" s="40" t="s">
        <v>769</v>
      </c>
      <c r="N48" s="54">
        <v>0.0</v>
      </c>
      <c r="O48" s="55">
        <v>14.2088</v>
      </c>
      <c r="P48" s="37" t="s">
        <v>770</v>
      </c>
      <c r="Q48" s="38">
        <v>0.07</v>
      </c>
      <c r="R48" s="39">
        <v>1.6489</v>
      </c>
      <c r="S48" s="40" t="s">
        <v>771</v>
      </c>
      <c r="T48" s="54">
        <v>0.0</v>
      </c>
      <c r="U48" s="55">
        <v>17.4726</v>
      </c>
      <c r="V48" s="37" t="s">
        <v>772</v>
      </c>
      <c r="W48" s="38">
        <v>0.0667</v>
      </c>
      <c r="X48" s="39">
        <v>2.0807</v>
      </c>
      <c r="Y48" s="40" t="s">
        <v>773</v>
      </c>
      <c r="Z48" s="54">
        <v>0.0</v>
      </c>
      <c r="AA48" s="55">
        <v>20.8863</v>
      </c>
      <c r="AB48" s="53"/>
      <c r="AC48" s="53"/>
      <c r="AD48" s="53"/>
      <c r="AE48" s="58"/>
      <c r="AF48" s="58"/>
      <c r="AG48" s="58"/>
      <c r="AH48" s="57"/>
      <c r="AI48" s="57"/>
      <c r="AJ48" s="57"/>
    </row>
    <row r="49" ht="15.75" customHeight="1">
      <c r="A49" s="36">
        <f t="shared" si="1"/>
        <v>44</v>
      </c>
      <c r="B49" s="17" t="s">
        <v>477</v>
      </c>
      <c r="C49" s="17" t="s">
        <v>432</v>
      </c>
      <c r="D49" s="37" t="s">
        <v>774</v>
      </c>
      <c r="E49" s="38">
        <v>0.0</v>
      </c>
      <c r="F49" s="39">
        <v>0.0204</v>
      </c>
      <c r="G49" s="40" t="s">
        <v>775</v>
      </c>
      <c r="H49" s="54">
        <v>0.038229</v>
      </c>
      <c r="I49" s="54">
        <v>30.0265</v>
      </c>
      <c r="J49" s="37" t="s">
        <v>776</v>
      </c>
      <c r="K49" s="38">
        <v>0.084</v>
      </c>
      <c r="L49" s="39">
        <v>0.6892</v>
      </c>
      <c r="M49" s="40" t="s">
        <v>777</v>
      </c>
      <c r="N49" s="54">
        <v>0.0</v>
      </c>
      <c r="O49" s="55">
        <v>6.4255</v>
      </c>
      <c r="P49" s="37" t="s">
        <v>778</v>
      </c>
      <c r="Q49" s="38">
        <v>0.1249</v>
      </c>
      <c r="R49" s="39">
        <v>0.8669</v>
      </c>
      <c r="S49" s="40" t="s">
        <v>779</v>
      </c>
      <c r="T49" s="54">
        <v>0.0</v>
      </c>
      <c r="U49" s="55">
        <v>9.0524</v>
      </c>
      <c r="V49" s="37" t="s">
        <v>780</v>
      </c>
      <c r="W49" s="38">
        <v>0.1358</v>
      </c>
      <c r="X49" s="39">
        <v>1.1627</v>
      </c>
      <c r="Y49" s="40" t="s">
        <v>781</v>
      </c>
      <c r="Z49" s="54">
        <v>0.0</v>
      </c>
      <c r="AA49" s="55">
        <v>12.5325</v>
      </c>
      <c r="AB49" s="53"/>
      <c r="AC49" s="53"/>
      <c r="AD49" s="53"/>
      <c r="AE49" s="58"/>
      <c r="AF49" s="58"/>
      <c r="AG49" s="58"/>
      <c r="AH49" s="57"/>
      <c r="AI49" s="57"/>
      <c r="AJ49" s="57"/>
    </row>
    <row r="50" ht="15.75" customHeight="1">
      <c r="A50" s="36">
        <f t="shared" si="1"/>
        <v>45</v>
      </c>
      <c r="B50" s="17" t="s">
        <v>477</v>
      </c>
      <c r="C50" s="17" t="s">
        <v>441</v>
      </c>
      <c r="D50" s="37" t="s">
        <v>782</v>
      </c>
      <c r="E50" s="38">
        <v>0.0</v>
      </c>
      <c r="F50" s="39">
        <v>0.3426</v>
      </c>
      <c r="G50" s="40" t="s">
        <v>783</v>
      </c>
      <c r="H50" s="54">
        <v>0.033812</v>
      </c>
      <c r="I50" s="54">
        <v>30.0266</v>
      </c>
      <c r="J50" s="37" t="s">
        <v>784</v>
      </c>
      <c r="K50" s="38">
        <v>0.0675</v>
      </c>
      <c r="L50" s="39">
        <v>0.8867</v>
      </c>
      <c r="M50" s="40" t="s">
        <v>785</v>
      </c>
      <c r="N50" s="54">
        <v>0.0</v>
      </c>
      <c r="O50" s="55">
        <v>6.3267</v>
      </c>
      <c r="P50" s="37" t="s">
        <v>786</v>
      </c>
      <c r="Q50" s="38">
        <v>0.0662</v>
      </c>
      <c r="R50" s="39">
        <v>0.8571</v>
      </c>
      <c r="S50" s="40" t="s">
        <v>787</v>
      </c>
      <c r="T50" s="54">
        <v>0.0</v>
      </c>
      <c r="U50" s="55">
        <v>8.2765</v>
      </c>
      <c r="V50" s="37" t="s">
        <v>788</v>
      </c>
      <c r="W50" s="38">
        <v>0.0829</v>
      </c>
      <c r="X50" s="39">
        <v>1.1147</v>
      </c>
      <c r="Y50" s="40" t="s">
        <v>789</v>
      </c>
      <c r="Z50" s="54">
        <v>0.0</v>
      </c>
      <c r="AA50" s="55">
        <v>12.6819</v>
      </c>
      <c r="AB50" s="53"/>
      <c r="AC50" s="53"/>
      <c r="AD50" s="53"/>
      <c r="AE50" s="58"/>
      <c r="AF50" s="58"/>
      <c r="AG50" s="58"/>
      <c r="AH50" s="57"/>
      <c r="AI50" s="57"/>
      <c r="AJ50" s="57"/>
    </row>
    <row r="51" ht="15.75" customHeight="1">
      <c r="A51" s="36">
        <f t="shared" si="1"/>
        <v>46</v>
      </c>
      <c r="B51" s="17" t="s">
        <v>477</v>
      </c>
      <c r="C51" s="17" t="s">
        <v>450</v>
      </c>
      <c r="D51" s="37" t="s">
        <v>790</v>
      </c>
      <c r="E51" s="38">
        <v>0.0</v>
      </c>
      <c r="F51" s="39">
        <v>0.1018</v>
      </c>
      <c r="G51" s="40" t="s">
        <v>791</v>
      </c>
      <c r="H51" s="54">
        <v>0.035185</v>
      </c>
      <c r="I51" s="54">
        <v>30.0276</v>
      </c>
      <c r="J51" s="37" t="s">
        <v>792</v>
      </c>
      <c r="K51" s="38">
        <v>0.1053</v>
      </c>
      <c r="L51" s="39">
        <v>0.6377</v>
      </c>
      <c r="M51" s="40" t="s">
        <v>793</v>
      </c>
      <c r="N51" s="54">
        <v>0.0</v>
      </c>
      <c r="O51" s="55">
        <v>3.909</v>
      </c>
      <c r="P51" s="37" t="s">
        <v>794</v>
      </c>
      <c r="Q51" s="38">
        <v>0.1119</v>
      </c>
      <c r="R51" s="39">
        <v>0.633</v>
      </c>
      <c r="S51" s="40" t="s">
        <v>795</v>
      </c>
      <c r="T51" s="54">
        <v>0.0</v>
      </c>
      <c r="U51" s="55">
        <v>4.9631</v>
      </c>
      <c r="V51" s="37" t="s">
        <v>796</v>
      </c>
      <c r="W51" s="38">
        <v>0.1463</v>
      </c>
      <c r="X51" s="39">
        <v>1.0184</v>
      </c>
      <c r="Y51" s="40" t="s">
        <v>797</v>
      </c>
      <c r="Z51" s="54">
        <v>6.51E-4</v>
      </c>
      <c r="AA51" s="55">
        <v>7.3467</v>
      </c>
      <c r="AB51" s="53"/>
      <c r="AC51" s="53"/>
      <c r="AD51" s="53"/>
      <c r="AE51" s="58"/>
      <c r="AF51" s="58"/>
      <c r="AG51" s="58"/>
      <c r="AH51" s="57"/>
      <c r="AI51" s="57"/>
      <c r="AJ51" s="57"/>
    </row>
    <row r="52" ht="15.75" customHeight="1">
      <c r="A52" s="36">
        <f t="shared" si="1"/>
        <v>47</v>
      </c>
      <c r="B52" s="17" t="s">
        <v>477</v>
      </c>
      <c r="C52" s="17" t="s">
        <v>459</v>
      </c>
      <c r="D52" s="37" t="s">
        <v>798</v>
      </c>
      <c r="E52" s="38">
        <v>0.0043</v>
      </c>
      <c r="F52" s="39">
        <v>0.609</v>
      </c>
      <c r="G52" s="40" t="s">
        <v>799</v>
      </c>
      <c r="H52" s="54">
        <v>7.61E-4</v>
      </c>
      <c r="I52" s="54">
        <v>4.2275</v>
      </c>
      <c r="J52" s="37" t="s">
        <v>800</v>
      </c>
      <c r="K52" s="38">
        <v>0.025</v>
      </c>
      <c r="L52" s="39">
        <v>0.3698</v>
      </c>
      <c r="M52" s="40" t="s">
        <v>801</v>
      </c>
      <c r="N52" s="54">
        <v>0.001555</v>
      </c>
      <c r="O52" s="55">
        <v>6.0268</v>
      </c>
      <c r="P52" s="37" t="s">
        <v>802</v>
      </c>
      <c r="Q52" s="38">
        <v>0.0309</v>
      </c>
      <c r="R52" s="39">
        <v>0.3511</v>
      </c>
      <c r="S52" s="40" t="s">
        <v>803</v>
      </c>
      <c r="T52" s="54">
        <v>0.00281</v>
      </c>
      <c r="U52" s="55">
        <v>12.5472</v>
      </c>
      <c r="V52" s="37" t="s">
        <v>804</v>
      </c>
      <c r="W52" s="38">
        <v>0.0314</v>
      </c>
      <c r="X52" s="39">
        <v>0.453</v>
      </c>
      <c r="Y52" s="40" t="s">
        <v>805</v>
      </c>
      <c r="Z52" s="54">
        <v>0.00357</v>
      </c>
      <c r="AA52" s="55">
        <v>15.0135</v>
      </c>
      <c r="AB52" s="53"/>
      <c r="AC52" s="53"/>
      <c r="AD52" s="53"/>
      <c r="AE52" s="58"/>
      <c r="AF52" s="58"/>
      <c r="AG52" s="58"/>
      <c r="AH52" s="57"/>
      <c r="AI52" s="57"/>
      <c r="AJ52" s="57"/>
    </row>
    <row r="53" ht="15.75" customHeight="1">
      <c r="A53" s="36">
        <f t="shared" si="1"/>
        <v>48</v>
      </c>
      <c r="B53" s="17" t="s">
        <v>477</v>
      </c>
      <c r="C53" s="17" t="s">
        <v>468</v>
      </c>
      <c r="D53" s="37" t="s">
        <v>806</v>
      </c>
      <c r="E53" s="38">
        <v>0.0058</v>
      </c>
      <c r="F53" s="39">
        <v>0.3863</v>
      </c>
      <c r="G53" s="40" t="s">
        <v>807</v>
      </c>
      <c r="H53" s="54">
        <v>1.0E-4</v>
      </c>
      <c r="I53" s="54">
        <v>0.8446</v>
      </c>
      <c r="J53" s="37" t="s">
        <v>808</v>
      </c>
      <c r="K53" s="38">
        <v>0.0398</v>
      </c>
      <c r="L53" s="39">
        <v>0.1856</v>
      </c>
      <c r="M53" s="40" t="s">
        <v>809</v>
      </c>
      <c r="N53" s="54">
        <v>4.01E-4</v>
      </c>
      <c r="O53" s="55">
        <v>1.0406</v>
      </c>
      <c r="P53" s="37" t="s">
        <v>810</v>
      </c>
      <c r="Q53" s="38">
        <v>0.0369</v>
      </c>
      <c r="R53" s="39">
        <v>0.2494</v>
      </c>
      <c r="S53" s="40" t="s">
        <v>811</v>
      </c>
      <c r="T53" s="54">
        <v>3.76E-4</v>
      </c>
      <c r="U53" s="55">
        <v>1.3123</v>
      </c>
      <c r="V53" s="37" t="s">
        <v>812</v>
      </c>
      <c r="W53" s="38">
        <v>0.0449</v>
      </c>
      <c r="X53" s="39">
        <v>0.2991</v>
      </c>
      <c r="Y53" s="40" t="s">
        <v>813</v>
      </c>
      <c r="Z53" s="54">
        <v>3.85E-4</v>
      </c>
      <c r="AA53" s="55">
        <v>1.6512</v>
      </c>
      <c r="AB53" s="53"/>
      <c r="AC53" s="53"/>
      <c r="AD53" s="53"/>
      <c r="AE53" s="58"/>
      <c r="AF53" s="58"/>
      <c r="AG53" s="58"/>
      <c r="AH53" s="57"/>
      <c r="AI53" s="57"/>
      <c r="AJ53" s="57"/>
    </row>
    <row r="54" ht="15.75" customHeight="1">
      <c r="A54" s="36">
        <f t="shared" si="1"/>
        <v>49</v>
      </c>
      <c r="B54" s="17" t="s">
        <v>477</v>
      </c>
      <c r="C54" s="17" t="s">
        <v>477</v>
      </c>
      <c r="D54" s="37" t="s">
        <v>814</v>
      </c>
      <c r="E54" s="38">
        <v>0.0092</v>
      </c>
      <c r="F54" s="39">
        <v>0.4062</v>
      </c>
      <c r="G54" s="40" t="s">
        <v>815</v>
      </c>
      <c r="H54" s="54">
        <v>2.01E-4</v>
      </c>
      <c r="I54" s="54">
        <v>0.4608</v>
      </c>
      <c r="J54" s="37" t="s">
        <v>816</v>
      </c>
      <c r="K54" s="38">
        <v>0.0274</v>
      </c>
      <c r="L54" s="39">
        <v>0.1715</v>
      </c>
      <c r="M54" s="40" t="s">
        <v>817</v>
      </c>
      <c r="N54" s="54">
        <v>4.77E-4</v>
      </c>
      <c r="O54" s="55">
        <v>0.4273</v>
      </c>
      <c r="P54" s="37" t="s">
        <v>818</v>
      </c>
      <c r="Q54" s="38">
        <v>0.0528</v>
      </c>
      <c r="R54" s="39">
        <v>0.2355</v>
      </c>
      <c r="S54" s="40" t="s">
        <v>819</v>
      </c>
      <c r="T54" s="54">
        <v>0.001082</v>
      </c>
      <c r="U54" s="55">
        <v>0.5022</v>
      </c>
      <c r="V54" s="37" t="s">
        <v>820</v>
      </c>
      <c r="W54" s="38">
        <v>0.0461</v>
      </c>
      <c r="X54" s="39">
        <v>0.3493</v>
      </c>
      <c r="Y54" s="40" t="s">
        <v>821</v>
      </c>
      <c r="Z54" s="54">
        <v>0.001414</v>
      </c>
      <c r="AA54" s="55">
        <v>0.6572</v>
      </c>
      <c r="AB54" s="53"/>
      <c r="AC54" s="53"/>
      <c r="AD54" s="53"/>
      <c r="AE54" s="58"/>
      <c r="AF54" s="58"/>
      <c r="AG54" s="58"/>
      <c r="AH54" s="57"/>
      <c r="AI54" s="57"/>
      <c r="AJ54" s="57"/>
    </row>
    <row r="55" ht="15.75" customHeight="1">
      <c r="A55" s="36">
        <f t="shared" si="1"/>
        <v>50</v>
      </c>
      <c r="B55" s="2" t="s">
        <v>822</v>
      </c>
      <c r="C55" s="2" t="s">
        <v>441</v>
      </c>
      <c r="D55" s="37" t="s">
        <v>823</v>
      </c>
      <c r="E55" s="38">
        <v>0.0</v>
      </c>
      <c r="F55" s="39">
        <v>0.5873</v>
      </c>
      <c r="G55" s="40" t="s">
        <v>824</v>
      </c>
      <c r="H55" s="54">
        <v>0.052068</v>
      </c>
      <c r="I55" s="54">
        <v>30.0245</v>
      </c>
      <c r="J55" s="37" t="s">
        <v>825</v>
      </c>
      <c r="K55" s="38">
        <v>0.1501</v>
      </c>
      <c r="L55" s="39">
        <v>1.5097</v>
      </c>
      <c r="M55" s="40" t="s">
        <v>826</v>
      </c>
      <c r="N55" s="54">
        <v>0.0</v>
      </c>
      <c r="O55" s="55">
        <v>8.0644</v>
      </c>
      <c r="P55" s="37" t="s">
        <v>786</v>
      </c>
      <c r="Q55" s="38">
        <v>0.0662</v>
      </c>
      <c r="R55" s="39">
        <v>0.8484</v>
      </c>
      <c r="S55" s="40" t="s">
        <v>827</v>
      </c>
      <c r="T55" s="54">
        <v>0.0</v>
      </c>
      <c r="U55" s="55">
        <v>6.137</v>
      </c>
      <c r="V55" s="37" t="s">
        <v>828</v>
      </c>
      <c r="W55" s="38">
        <v>0.2064</v>
      </c>
      <c r="X55" s="39">
        <v>2.3773</v>
      </c>
      <c r="Y55" s="40" t="s">
        <v>829</v>
      </c>
      <c r="Z55" s="54">
        <v>0.0</v>
      </c>
      <c r="AA55" s="55">
        <v>8.3983</v>
      </c>
      <c r="AB55" s="2"/>
      <c r="AC55" s="2"/>
      <c r="AD55" s="2"/>
      <c r="AE55" s="2"/>
      <c r="AF55" s="2"/>
      <c r="AG55" s="2"/>
      <c r="AH55" s="2"/>
      <c r="AI55" s="2"/>
      <c r="AJ55" s="2"/>
    </row>
    <row r="56" ht="14.25" customHeight="1">
      <c r="A56" s="44"/>
      <c r="B56" s="12"/>
      <c r="C56" s="12"/>
      <c r="D56" s="2"/>
      <c r="E56" s="2"/>
      <c r="F56" s="12"/>
      <c r="G56" s="10"/>
      <c r="H56" s="8"/>
      <c r="I56" s="12"/>
      <c r="J56" s="8"/>
      <c r="K56" s="8"/>
      <c r="L56" s="59"/>
      <c r="M56" s="8"/>
      <c r="N56" s="8"/>
      <c r="O56" s="8"/>
      <c r="P56" s="12"/>
      <c r="Q56" s="8"/>
      <c r="R56" s="1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8"/>
      <c r="AI56" s="8"/>
      <c r="AJ56" s="8"/>
    </row>
    <row r="57" ht="14.25" customHeight="1">
      <c r="A57" s="44"/>
      <c r="B57" s="12"/>
      <c r="C57" s="12"/>
      <c r="F57" s="12"/>
      <c r="G57" s="10"/>
      <c r="H57" s="8"/>
      <c r="I57" s="12"/>
      <c r="J57" s="8"/>
      <c r="K57" s="8"/>
      <c r="L57" s="8"/>
      <c r="M57" s="8"/>
      <c r="N57" s="8"/>
      <c r="O57" s="8"/>
      <c r="P57" s="12"/>
      <c r="Q57" s="8"/>
      <c r="R57" s="12"/>
      <c r="T57" s="12"/>
      <c r="AH57" s="8"/>
      <c r="AI57" s="8"/>
      <c r="AJ57" s="8"/>
    </row>
    <row r="58" ht="14.25" customHeight="1">
      <c r="A58" s="44"/>
      <c r="B58" s="12"/>
      <c r="C58" s="12"/>
      <c r="F58" s="12"/>
      <c r="G58" s="10"/>
      <c r="H58" s="8"/>
      <c r="I58" s="12"/>
      <c r="J58" s="8"/>
      <c r="K58" s="8"/>
      <c r="L58" s="8"/>
      <c r="M58" s="8"/>
      <c r="N58" s="8"/>
      <c r="O58" s="8"/>
      <c r="P58" s="12"/>
      <c r="Q58" s="8"/>
      <c r="R58" s="12"/>
      <c r="T58" s="12"/>
      <c r="AH58" s="8"/>
      <c r="AI58" s="8"/>
      <c r="AJ58" s="8"/>
    </row>
    <row r="59" ht="14.25" customHeight="1">
      <c r="A59" s="44"/>
      <c r="B59" s="12"/>
      <c r="C59" s="12"/>
      <c r="F59" s="12"/>
      <c r="G59" s="10"/>
      <c r="H59" s="8"/>
      <c r="I59" s="12"/>
      <c r="J59" s="8"/>
      <c r="K59" s="8"/>
      <c r="L59" s="8"/>
      <c r="M59" s="8"/>
      <c r="N59" s="8"/>
      <c r="O59" s="8"/>
      <c r="P59" s="12"/>
      <c r="Q59" s="8"/>
      <c r="R59" s="12"/>
      <c r="T59" s="12"/>
      <c r="AH59" s="8"/>
      <c r="AI59" s="8"/>
      <c r="AJ59" s="8"/>
    </row>
    <row r="60" ht="14.25" customHeight="1">
      <c r="A60" s="44"/>
      <c r="B60" s="12"/>
      <c r="C60" s="12"/>
      <c r="F60" s="12"/>
      <c r="G60" s="10"/>
      <c r="H60" s="8"/>
      <c r="I60" s="12"/>
      <c r="J60" s="8"/>
      <c r="K60" s="8"/>
      <c r="L60" s="8"/>
      <c r="M60" s="8"/>
      <c r="N60" s="8"/>
      <c r="O60" s="8"/>
      <c r="P60" s="12"/>
      <c r="Q60" s="8"/>
      <c r="R60" s="12"/>
      <c r="T60" s="12"/>
      <c r="AH60" s="8"/>
      <c r="AI60" s="8"/>
      <c r="AJ60" s="8"/>
    </row>
    <row r="61" ht="14.25" customHeight="1">
      <c r="A61" s="44"/>
      <c r="B61" s="12"/>
      <c r="C61" s="12"/>
      <c r="F61" s="12"/>
      <c r="G61" s="10"/>
      <c r="H61" s="8"/>
      <c r="I61" s="12"/>
      <c r="J61" s="8"/>
      <c r="K61" s="8"/>
      <c r="L61" s="8"/>
      <c r="M61" s="8"/>
      <c r="N61" s="8"/>
      <c r="O61" s="8"/>
      <c r="P61" s="12"/>
      <c r="Q61" s="8"/>
      <c r="R61" s="12"/>
      <c r="T61" s="12"/>
      <c r="AH61" s="8"/>
      <c r="AI61" s="8"/>
      <c r="AJ61" s="8"/>
    </row>
    <row r="62" ht="14.25" customHeight="1">
      <c r="A62" s="44"/>
      <c r="B62" s="12"/>
      <c r="C62" s="12"/>
      <c r="F62" s="12"/>
      <c r="G62" s="10"/>
      <c r="H62" s="8"/>
      <c r="I62" s="12"/>
      <c r="J62" s="8"/>
      <c r="K62" s="8"/>
      <c r="L62" s="8"/>
      <c r="M62" s="8"/>
      <c r="N62" s="8"/>
      <c r="O62" s="8"/>
      <c r="P62" s="12"/>
      <c r="Q62" s="8"/>
      <c r="R62" s="12"/>
      <c r="T62" s="12"/>
      <c r="AH62" s="8"/>
      <c r="AI62" s="8"/>
      <c r="AJ62" s="8"/>
    </row>
    <row r="63" ht="14.25" customHeight="1">
      <c r="A63" s="44"/>
      <c r="B63" s="12"/>
      <c r="C63" s="12"/>
      <c r="F63" s="12"/>
      <c r="G63" s="10"/>
      <c r="H63" s="8"/>
      <c r="I63" s="12"/>
      <c r="J63" s="8"/>
      <c r="K63" s="8"/>
      <c r="L63" s="8"/>
      <c r="M63" s="8"/>
      <c r="N63" s="8"/>
      <c r="O63" s="8"/>
      <c r="P63" s="12"/>
      <c r="Q63" s="8"/>
      <c r="R63" s="12"/>
      <c r="T63" s="12"/>
      <c r="AH63" s="8"/>
      <c r="AI63" s="8"/>
      <c r="AJ63" s="8"/>
    </row>
    <row r="64" ht="14.25" customHeight="1">
      <c r="A64" s="44"/>
      <c r="B64" s="12"/>
      <c r="C64" s="12"/>
      <c r="F64" s="12"/>
      <c r="G64" s="10"/>
      <c r="H64" s="8"/>
      <c r="I64" s="12"/>
      <c r="J64" s="8"/>
      <c r="K64" s="8"/>
      <c r="L64" s="8"/>
      <c r="M64" s="8"/>
      <c r="N64" s="8"/>
      <c r="O64" s="8"/>
      <c r="P64" s="12"/>
      <c r="Q64" s="8"/>
      <c r="R64" s="12"/>
      <c r="T64" s="12"/>
      <c r="AH64" s="8"/>
      <c r="AI64" s="8"/>
      <c r="AJ64" s="8"/>
    </row>
    <row r="65" ht="14.25" customHeight="1">
      <c r="A65" s="44"/>
      <c r="B65" s="12"/>
      <c r="C65" s="12"/>
      <c r="F65" s="12"/>
      <c r="G65" s="10"/>
      <c r="H65" s="8"/>
      <c r="I65" s="12"/>
      <c r="J65" s="8"/>
      <c r="K65" s="8"/>
      <c r="L65" s="8"/>
      <c r="M65" s="8"/>
      <c r="N65" s="8"/>
      <c r="O65" s="8"/>
      <c r="P65" s="12"/>
      <c r="Q65" s="8"/>
      <c r="R65" s="12"/>
      <c r="T65" s="12"/>
      <c r="AH65" s="8"/>
      <c r="AI65" s="8"/>
      <c r="AJ65" s="8"/>
    </row>
    <row r="66" ht="14.25" customHeight="1">
      <c r="A66" s="44"/>
      <c r="B66" s="12"/>
      <c r="C66" s="12"/>
      <c r="F66" s="12"/>
      <c r="G66" s="10"/>
      <c r="H66" s="8"/>
      <c r="I66" s="12"/>
      <c r="J66" s="8"/>
      <c r="K66" s="8"/>
      <c r="L66" s="8"/>
      <c r="M66" s="8"/>
      <c r="N66" s="8"/>
      <c r="O66" s="8"/>
      <c r="P66" s="12"/>
      <c r="Q66" s="8"/>
      <c r="R66" s="12"/>
      <c r="T66" s="12"/>
      <c r="AH66" s="8"/>
      <c r="AI66" s="8"/>
      <c r="AJ66" s="8"/>
    </row>
    <row r="67" ht="14.25" customHeight="1">
      <c r="A67" s="44"/>
      <c r="B67" s="12"/>
      <c r="C67" s="12"/>
      <c r="F67" s="12"/>
      <c r="G67" s="10"/>
      <c r="H67" s="8"/>
      <c r="I67" s="12"/>
      <c r="J67" s="8"/>
      <c r="K67" s="8"/>
      <c r="L67" s="8"/>
      <c r="M67" s="8"/>
      <c r="N67" s="8"/>
      <c r="O67" s="8"/>
      <c r="P67" s="12"/>
      <c r="Q67" s="8"/>
      <c r="R67" s="12"/>
      <c r="T67" s="12"/>
      <c r="AH67" s="8"/>
      <c r="AI67" s="8"/>
      <c r="AJ67" s="8"/>
    </row>
    <row r="68" ht="14.25" customHeight="1">
      <c r="A68" s="44"/>
      <c r="B68" s="12"/>
      <c r="C68" s="12"/>
      <c r="F68" s="12"/>
      <c r="G68" s="10"/>
      <c r="H68" s="8"/>
      <c r="I68" s="12"/>
      <c r="J68" s="8"/>
      <c r="K68" s="8"/>
      <c r="L68" s="8"/>
      <c r="M68" s="8"/>
      <c r="N68" s="8"/>
      <c r="O68" s="8"/>
      <c r="P68" s="12"/>
      <c r="Q68" s="8"/>
      <c r="R68" s="12"/>
      <c r="T68" s="12"/>
      <c r="AH68" s="8"/>
      <c r="AI68" s="8"/>
      <c r="AJ68" s="8"/>
    </row>
    <row r="69" ht="14.25" customHeight="1">
      <c r="A69" s="44"/>
      <c r="B69" s="12"/>
      <c r="C69" s="12"/>
      <c r="F69" s="12"/>
      <c r="G69" s="10"/>
      <c r="H69" s="8"/>
      <c r="I69" s="12"/>
      <c r="J69" s="8"/>
      <c r="K69" s="8"/>
      <c r="L69" s="8"/>
      <c r="M69" s="8"/>
      <c r="N69" s="8"/>
      <c r="O69" s="8"/>
      <c r="P69" s="12"/>
      <c r="Q69" s="8"/>
      <c r="R69" s="12"/>
      <c r="T69" s="12"/>
      <c r="AH69" s="8"/>
      <c r="AI69" s="8"/>
      <c r="AJ69" s="8"/>
    </row>
    <row r="70" ht="14.25" customHeight="1">
      <c r="A70" s="44"/>
      <c r="B70" s="12"/>
      <c r="C70" s="12"/>
      <c r="F70" s="12"/>
      <c r="G70" s="10"/>
      <c r="H70" s="8"/>
      <c r="I70" s="12"/>
      <c r="J70" s="8"/>
      <c r="K70" s="8"/>
      <c r="L70" s="8"/>
      <c r="M70" s="8"/>
      <c r="N70" s="8"/>
      <c r="O70" s="8"/>
      <c r="P70" s="12"/>
      <c r="Q70" s="8"/>
      <c r="R70" s="12"/>
      <c r="T70" s="12"/>
      <c r="AH70" s="8"/>
      <c r="AI70" s="8"/>
      <c r="AJ70" s="8"/>
    </row>
    <row r="71" ht="14.25" customHeight="1">
      <c r="A71" s="44"/>
      <c r="B71" s="12"/>
      <c r="C71" s="12"/>
      <c r="F71" s="12"/>
      <c r="G71" s="10"/>
      <c r="H71" s="8"/>
      <c r="I71" s="12"/>
      <c r="J71" s="8"/>
      <c r="K71" s="8"/>
      <c r="L71" s="8"/>
      <c r="M71" s="8"/>
      <c r="N71" s="8"/>
      <c r="O71" s="8"/>
      <c r="P71" s="12"/>
      <c r="Q71" s="8"/>
      <c r="R71" s="12"/>
      <c r="T71" s="12"/>
      <c r="AH71" s="8"/>
      <c r="AI71" s="8"/>
      <c r="AJ71" s="8"/>
    </row>
    <row r="72" ht="14.25" customHeight="1">
      <c r="A72" s="44"/>
      <c r="B72" s="12"/>
      <c r="C72" s="12"/>
      <c r="F72" s="12"/>
      <c r="G72" s="10"/>
      <c r="H72" s="8"/>
      <c r="I72" s="12"/>
      <c r="J72" s="8"/>
      <c r="K72" s="8"/>
      <c r="L72" s="8"/>
      <c r="M72" s="8"/>
      <c r="N72" s="8"/>
      <c r="O72" s="8"/>
      <c r="P72" s="12"/>
      <c r="Q72" s="8"/>
      <c r="R72" s="12"/>
      <c r="T72" s="12"/>
      <c r="AH72" s="8"/>
      <c r="AI72" s="8"/>
      <c r="AJ72" s="8"/>
    </row>
    <row r="73" ht="14.25" customHeight="1">
      <c r="A73" s="44"/>
      <c r="B73" s="12"/>
      <c r="C73" s="12"/>
      <c r="F73" s="12"/>
      <c r="G73" s="10"/>
      <c r="H73" s="8"/>
      <c r="I73" s="12"/>
      <c r="J73" s="8"/>
      <c r="K73" s="8"/>
      <c r="L73" s="8"/>
      <c r="M73" s="8"/>
      <c r="N73" s="8"/>
      <c r="O73" s="8"/>
      <c r="P73" s="12"/>
      <c r="Q73" s="8"/>
      <c r="R73" s="12"/>
      <c r="T73" s="12"/>
      <c r="AH73" s="8"/>
      <c r="AI73" s="8"/>
      <c r="AJ73" s="8"/>
    </row>
    <row r="74" ht="14.25" customHeight="1">
      <c r="A74" s="44"/>
      <c r="B74" s="12"/>
      <c r="C74" s="12"/>
      <c r="F74" s="12"/>
      <c r="G74" s="10"/>
      <c r="H74" s="8"/>
      <c r="I74" s="12"/>
      <c r="J74" s="8"/>
      <c r="K74" s="8"/>
      <c r="L74" s="8"/>
      <c r="M74" s="8"/>
      <c r="N74" s="8"/>
      <c r="O74" s="8"/>
      <c r="P74" s="12"/>
      <c r="Q74" s="8"/>
      <c r="R74" s="12"/>
      <c r="T74" s="12"/>
      <c r="AH74" s="8"/>
      <c r="AI74" s="8"/>
      <c r="AJ74" s="8"/>
    </row>
    <row r="75" ht="14.25" customHeight="1">
      <c r="A75" s="44"/>
      <c r="B75" s="12"/>
      <c r="C75" s="12"/>
      <c r="F75" s="12"/>
      <c r="G75" s="10"/>
      <c r="H75" s="8"/>
      <c r="I75" s="12"/>
      <c r="J75" s="8"/>
      <c r="K75" s="8"/>
      <c r="L75" s="8"/>
      <c r="M75" s="8"/>
      <c r="N75" s="8"/>
      <c r="O75" s="8"/>
      <c r="P75" s="12"/>
      <c r="Q75" s="8"/>
      <c r="R75" s="12"/>
      <c r="T75" s="12"/>
      <c r="AH75" s="8"/>
      <c r="AI75" s="8"/>
      <c r="AJ75" s="8"/>
    </row>
    <row r="76" ht="14.25" customHeight="1">
      <c r="A76" s="44"/>
      <c r="B76" s="12"/>
      <c r="C76" s="12"/>
      <c r="F76" s="12"/>
      <c r="G76" s="10"/>
      <c r="H76" s="8"/>
      <c r="I76" s="12"/>
      <c r="J76" s="8"/>
      <c r="K76" s="8"/>
      <c r="L76" s="8"/>
      <c r="M76" s="8"/>
      <c r="N76" s="8"/>
      <c r="O76" s="8"/>
      <c r="P76" s="12"/>
      <c r="Q76" s="8"/>
      <c r="R76" s="12"/>
      <c r="T76" s="12"/>
      <c r="AH76" s="8"/>
      <c r="AI76" s="8"/>
      <c r="AJ76" s="8"/>
    </row>
    <row r="77" ht="14.25" customHeight="1">
      <c r="A77" s="44"/>
      <c r="B77" s="12"/>
      <c r="C77" s="12"/>
      <c r="F77" s="12"/>
      <c r="G77" s="10"/>
      <c r="H77" s="8"/>
      <c r="I77" s="12"/>
      <c r="J77" s="8"/>
      <c r="K77" s="8"/>
      <c r="L77" s="8"/>
      <c r="M77" s="8"/>
      <c r="N77" s="8"/>
      <c r="O77" s="8"/>
      <c r="P77" s="12"/>
      <c r="Q77" s="8"/>
      <c r="R77" s="12"/>
      <c r="T77" s="12"/>
      <c r="AH77" s="8"/>
      <c r="AI77" s="8"/>
      <c r="AJ77" s="8"/>
    </row>
    <row r="78" ht="14.25" customHeight="1">
      <c r="A78" s="44"/>
      <c r="B78" s="12"/>
      <c r="C78" s="12"/>
      <c r="F78" s="12"/>
      <c r="G78" s="10"/>
      <c r="H78" s="8"/>
      <c r="I78" s="12"/>
      <c r="J78" s="8"/>
      <c r="K78" s="8"/>
      <c r="L78" s="8"/>
      <c r="M78" s="8"/>
      <c r="N78" s="8"/>
      <c r="O78" s="8"/>
      <c r="P78" s="12"/>
      <c r="Q78" s="8"/>
      <c r="R78" s="12"/>
      <c r="T78" s="12"/>
      <c r="AH78" s="8"/>
      <c r="AI78" s="8"/>
      <c r="AJ78" s="8"/>
    </row>
    <row r="79" ht="14.25" customHeight="1">
      <c r="A79" s="44"/>
      <c r="B79" s="12"/>
      <c r="C79" s="12"/>
      <c r="F79" s="12"/>
      <c r="G79" s="10"/>
      <c r="H79" s="8"/>
      <c r="I79" s="12"/>
      <c r="J79" s="8"/>
      <c r="K79" s="8"/>
      <c r="L79" s="8"/>
      <c r="M79" s="8"/>
      <c r="N79" s="8"/>
      <c r="O79" s="8"/>
      <c r="P79" s="12"/>
      <c r="Q79" s="8"/>
      <c r="R79" s="12"/>
      <c r="T79" s="12"/>
      <c r="AH79" s="8"/>
      <c r="AI79" s="8"/>
      <c r="AJ79" s="8"/>
    </row>
    <row r="80" ht="14.25" customHeight="1">
      <c r="A80" s="44"/>
      <c r="B80" s="12"/>
      <c r="C80" s="12"/>
      <c r="F80" s="12"/>
      <c r="G80" s="10"/>
      <c r="H80" s="8"/>
      <c r="I80" s="12"/>
      <c r="J80" s="8"/>
      <c r="K80" s="8"/>
      <c r="L80" s="8"/>
      <c r="M80" s="8"/>
      <c r="N80" s="8"/>
      <c r="O80" s="8"/>
      <c r="P80" s="12"/>
      <c r="Q80" s="8"/>
      <c r="R80" s="12"/>
      <c r="T80" s="12"/>
      <c r="AH80" s="8"/>
      <c r="AI80" s="8"/>
      <c r="AJ80" s="8"/>
    </row>
    <row r="81" ht="14.25" customHeight="1">
      <c r="A81" s="44"/>
      <c r="B81" s="12"/>
      <c r="C81" s="12"/>
      <c r="F81" s="12"/>
      <c r="G81" s="10"/>
      <c r="H81" s="8"/>
      <c r="I81" s="12"/>
      <c r="J81" s="8"/>
      <c r="K81" s="8"/>
      <c r="L81" s="8"/>
      <c r="M81" s="8"/>
      <c r="N81" s="8"/>
      <c r="O81" s="8"/>
      <c r="P81" s="12"/>
      <c r="Q81" s="8"/>
      <c r="R81" s="12"/>
      <c r="T81" s="12"/>
      <c r="AH81" s="8"/>
      <c r="AI81" s="8"/>
      <c r="AJ81" s="8"/>
    </row>
    <row r="82" ht="14.25" customHeight="1">
      <c r="A82" s="44"/>
      <c r="B82" s="12"/>
      <c r="C82" s="12"/>
      <c r="F82" s="12"/>
      <c r="G82" s="10"/>
      <c r="H82" s="8"/>
      <c r="I82" s="12"/>
      <c r="J82" s="8"/>
      <c r="K82" s="8"/>
      <c r="L82" s="8"/>
      <c r="M82" s="8"/>
      <c r="N82" s="8"/>
      <c r="O82" s="8"/>
      <c r="P82" s="12"/>
      <c r="Q82" s="8"/>
      <c r="R82" s="12"/>
      <c r="T82" s="12"/>
      <c r="AH82" s="8"/>
      <c r="AI82" s="8"/>
      <c r="AJ82" s="8"/>
    </row>
    <row r="83" ht="14.25" customHeight="1">
      <c r="A83" s="44"/>
      <c r="B83" s="12"/>
      <c r="C83" s="12"/>
      <c r="F83" s="12"/>
      <c r="G83" s="10"/>
      <c r="H83" s="8"/>
      <c r="I83" s="12"/>
      <c r="J83" s="8"/>
      <c r="K83" s="8"/>
      <c r="L83" s="8"/>
      <c r="M83" s="8"/>
      <c r="N83" s="8"/>
      <c r="O83" s="8"/>
      <c r="P83" s="12"/>
      <c r="Q83" s="8"/>
      <c r="R83" s="12"/>
      <c r="T83" s="12"/>
      <c r="AH83" s="8"/>
      <c r="AI83" s="8"/>
      <c r="AJ83" s="8"/>
    </row>
    <row r="84" ht="14.25" customHeight="1">
      <c r="A84" s="44"/>
      <c r="B84" s="12"/>
      <c r="C84" s="12"/>
      <c r="F84" s="12"/>
      <c r="G84" s="10"/>
      <c r="H84" s="8"/>
      <c r="I84" s="12"/>
      <c r="J84" s="8"/>
      <c r="K84" s="8"/>
      <c r="L84" s="8"/>
      <c r="M84" s="8"/>
      <c r="N84" s="8"/>
      <c r="O84" s="8"/>
      <c r="P84" s="12"/>
      <c r="Q84" s="8"/>
      <c r="R84" s="12"/>
      <c r="T84" s="12"/>
      <c r="AH84" s="8"/>
      <c r="AI84" s="8"/>
      <c r="AJ84" s="8"/>
    </row>
    <row r="85" ht="14.25" customHeight="1">
      <c r="A85" s="44"/>
      <c r="B85" s="12"/>
      <c r="C85" s="12"/>
      <c r="F85" s="12"/>
      <c r="G85" s="10"/>
      <c r="H85" s="8"/>
      <c r="I85" s="12"/>
      <c r="J85" s="8"/>
      <c r="K85" s="8"/>
      <c r="L85" s="8"/>
      <c r="M85" s="8"/>
      <c r="N85" s="8"/>
      <c r="O85" s="8"/>
      <c r="P85" s="12"/>
      <c r="Q85" s="8"/>
      <c r="R85" s="12"/>
      <c r="T85" s="12"/>
      <c r="AH85" s="8"/>
      <c r="AI85" s="8"/>
      <c r="AJ85" s="8"/>
    </row>
    <row r="86" ht="14.25" customHeight="1">
      <c r="A86" s="44"/>
      <c r="B86" s="12"/>
      <c r="C86" s="12"/>
      <c r="F86" s="12"/>
      <c r="G86" s="10"/>
      <c r="H86" s="8"/>
      <c r="I86" s="12"/>
      <c r="J86" s="8"/>
      <c r="K86" s="8"/>
      <c r="L86" s="8"/>
      <c r="M86" s="8"/>
      <c r="N86" s="8"/>
      <c r="O86" s="8"/>
      <c r="P86" s="12"/>
      <c r="Q86" s="8"/>
      <c r="R86" s="12"/>
      <c r="T86" s="12"/>
      <c r="AH86" s="8"/>
      <c r="AI86" s="8"/>
      <c r="AJ86" s="8"/>
    </row>
    <row r="87" ht="14.25" customHeight="1">
      <c r="A87" s="44"/>
      <c r="B87" s="12"/>
      <c r="C87" s="12"/>
      <c r="F87" s="12"/>
      <c r="G87" s="10"/>
      <c r="H87" s="8"/>
      <c r="I87" s="12"/>
      <c r="J87" s="8"/>
      <c r="K87" s="8"/>
      <c r="L87" s="8"/>
      <c r="M87" s="8"/>
      <c r="N87" s="8"/>
      <c r="O87" s="8"/>
      <c r="P87" s="12"/>
      <c r="Q87" s="8"/>
      <c r="R87" s="12"/>
      <c r="T87" s="12"/>
      <c r="AH87" s="8"/>
      <c r="AI87" s="8"/>
      <c r="AJ87" s="8"/>
    </row>
    <row r="88" ht="14.25" customHeight="1">
      <c r="A88" s="44"/>
      <c r="B88" s="12"/>
      <c r="C88" s="12"/>
      <c r="F88" s="12"/>
      <c r="G88" s="10"/>
      <c r="H88" s="8"/>
      <c r="I88" s="12"/>
      <c r="J88" s="8"/>
      <c r="K88" s="8"/>
      <c r="L88" s="8"/>
      <c r="M88" s="8"/>
      <c r="N88" s="8"/>
      <c r="O88" s="8"/>
      <c r="P88" s="12"/>
      <c r="Q88" s="8"/>
      <c r="R88" s="12"/>
      <c r="T88" s="12"/>
      <c r="AH88" s="8"/>
      <c r="AI88" s="8"/>
      <c r="AJ88" s="8"/>
    </row>
    <row r="89" ht="14.25" customHeight="1">
      <c r="A89" s="44"/>
      <c r="B89" s="12"/>
      <c r="C89" s="12"/>
      <c r="F89" s="12"/>
      <c r="G89" s="10"/>
      <c r="H89" s="8"/>
      <c r="I89" s="12"/>
      <c r="J89" s="8"/>
      <c r="K89" s="8"/>
      <c r="L89" s="8"/>
      <c r="M89" s="8"/>
      <c r="N89" s="8"/>
      <c r="O89" s="8"/>
      <c r="P89" s="12"/>
      <c r="Q89" s="8"/>
      <c r="R89" s="12"/>
      <c r="T89" s="12"/>
      <c r="AH89" s="8"/>
      <c r="AI89" s="8"/>
      <c r="AJ89" s="8"/>
    </row>
    <row r="90" ht="14.25" customHeight="1">
      <c r="A90" s="44"/>
      <c r="B90" s="12"/>
      <c r="C90" s="12"/>
      <c r="F90" s="12"/>
      <c r="G90" s="10"/>
      <c r="H90" s="8"/>
      <c r="I90" s="12"/>
      <c r="J90" s="8"/>
      <c r="K90" s="8"/>
      <c r="L90" s="8"/>
      <c r="M90" s="8"/>
      <c r="N90" s="8"/>
      <c r="O90" s="8"/>
      <c r="P90" s="12"/>
      <c r="Q90" s="8"/>
      <c r="R90" s="12"/>
      <c r="T90" s="12"/>
      <c r="AH90" s="8"/>
      <c r="AI90" s="8"/>
      <c r="AJ90" s="8"/>
    </row>
    <row r="91" ht="14.25" customHeight="1">
      <c r="A91" s="44"/>
      <c r="B91" s="12"/>
      <c r="C91" s="12"/>
      <c r="F91" s="12"/>
      <c r="G91" s="10"/>
      <c r="H91" s="8"/>
      <c r="I91" s="12"/>
      <c r="J91" s="8"/>
      <c r="K91" s="8"/>
      <c r="L91" s="8"/>
      <c r="M91" s="8"/>
      <c r="N91" s="8"/>
      <c r="O91" s="8"/>
      <c r="P91" s="12"/>
      <c r="Q91" s="8"/>
      <c r="R91" s="12"/>
      <c r="T91" s="12"/>
      <c r="AH91" s="8"/>
      <c r="AI91" s="8"/>
      <c r="AJ91" s="8"/>
    </row>
    <row r="92" ht="14.25" customHeight="1">
      <c r="A92" s="44"/>
      <c r="B92" s="12"/>
      <c r="C92" s="12"/>
      <c r="F92" s="12"/>
      <c r="G92" s="10"/>
      <c r="H92" s="8"/>
      <c r="I92" s="12"/>
      <c r="J92" s="8"/>
      <c r="K92" s="8"/>
      <c r="L92" s="8"/>
      <c r="M92" s="8"/>
      <c r="N92" s="8"/>
      <c r="O92" s="8"/>
      <c r="P92" s="12"/>
      <c r="Q92" s="8"/>
      <c r="R92" s="12"/>
      <c r="T92" s="12"/>
      <c r="AH92" s="8"/>
      <c r="AI92" s="8"/>
      <c r="AJ92" s="8"/>
    </row>
    <row r="93" ht="14.25" customHeight="1">
      <c r="A93" s="44"/>
      <c r="B93" s="12"/>
      <c r="C93" s="12"/>
      <c r="F93" s="12"/>
      <c r="G93" s="10"/>
      <c r="H93" s="8"/>
      <c r="I93" s="12"/>
      <c r="J93" s="8"/>
      <c r="K93" s="8"/>
      <c r="L93" s="8"/>
      <c r="M93" s="8"/>
      <c r="N93" s="8"/>
      <c r="O93" s="8"/>
      <c r="P93" s="12"/>
      <c r="Q93" s="8"/>
      <c r="R93" s="12"/>
      <c r="T93" s="12"/>
      <c r="AH93" s="8"/>
      <c r="AI93" s="8"/>
      <c r="AJ93" s="8"/>
    </row>
    <row r="94" ht="14.25" customHeight="1">
      <c r="A94" s="44"/>
      <c r="B94" s="12"/>
      <c r="C94" s="12"/>
      <c r="F94" s="12"/>
      <c r="G94" s="10"/>
      <c r="H94" s="8"/>
      <c r="I94" s="12"/>
      <c r="J94" s="8"/>
      <c r="K94" s="8"/>
      <c r="L94" s="8"/>
      <c r="M94" s="8"/>
      <c r="N94" s="8"/>
      <c r="O94" s="8"/>
      <c r="P94" s="12"/>
      <c r="Q94" s="8"/>
      <c r="R94" s="12"/>
      <c r="T94" s="12"/>
      <c r="AH94" s="8"/>
      <c r="AI94" s="8"/>
      <c r="AJ94" s="8"/>
    </row>
    <row r="95" ht="14.25" customHeight="1">
      <c r="A95" s="44"/>
      <c r="B95" s="12"/>
      <c r="C95" s="12"/>
      <c r="F95" s="12"/>
      <c r="G95" s="10"/>
      <c r="H95" s="8"/>
      <c r="I95" s="12"/>
      <c r="J95" s="8"/>
      <c r="K95" s="8"/>
      <c r="L95" s="8"/>
      <c r="M95" s="8"/>
      <c r="N95" s="8"/>
      <c r="O95" s="8"/>
      <c r="P95" s="12"/>
      <c r="Q95" s="8"/>
      <c r="R95" s="12"/>
      <c r="T95" s="12"/>
      <c r="AH95" s="8"/>
      <c r="AI95" s="8"/>
      <c r="AJ95" s="8"/>
    </row>
    <row r="96" ht="14.25" customHeight="1">
      <c r="A96" s="44"/>
      <c r="B96" s="12"/>
      <c r="C96" s="12"/>
      <c r="F96" s="12"/>
      <c r="G96" s="10"/>
      <c r="H96" s="8"/>
      <c r="I96" s="12"/>
      <c r="J96" s="8"/>
      <c r="K96" s="8"/>
      <c r="L96" s="8"/>
      <c r="M96" s="8"/>
      <c r="N96" s="8"/>
      <c r="O96" s="8"/>
      <c r="P96" s="12"/>
      <c r="Q96" s="8"/>
      <c r="R96" s="12"/>
      <c r="T96" s="12"/>
      <c r="AH96" s="8"/>
      <c r="AI96" s="8"/>
      <c r="AJ96" s="8"/>
    </row>
    <row r="97" ht="14.25" customHeight="1">
      <c r="A97" s="44"/>
      <c r="B97" s="12"/>
      <c r="C97" s="12"/>
      <c r="F97" s="12"/>
      <c r="G97" s="10"/>
      <c r="H97" s="8"/>
      <c r="I97" s="12"/>
      <c r="J97" s="8"/>
      <c r="K97" s="8"/>
      <c r="L97" s="8"/>
      <c r="M97" s="8"/>
      <c r="N97" s="8"/>
      <c r="O97" s="8"/>
      <c r="P97" s="12"/>
      <c r="Q97" s="8"/>
      <c r="R97" s="12"/>
      <c r="T97" s="12"/>
      <c r="AH97" s="8"/>
      <c r="AI97" s="8"/>
      <c r="AJ97" s="8"/>
    </row>
    <row r="98" ht="14.25" customHeight="1">
      <c r="A98" s="44"/>
      <c r="B98" s="12"/>
      <c r="C98" s="12"/>
      <c r="F98" s="12"/>
      <c r="G98" s="10"/>
      <c r="H98" s="8"/>
      <c r="I98" s="12"/>
      <c r="J98" s="8"/>
      <c r="K98" s="8"/>
      <c r="L98" s="8"/>
      <c r="M98" s="8"/>
      <c r="N98" s="8"/>
      <c r="O98" s="8"/>
      <c r="P98" s="12"/>
      <c r="Q98" s="8"/>
      <c r="R98" s="12"/>
      <c r="T98" s="12"/>
      <c r="AH98" s="8"/>
      <c r="AI98" s="8"/>
      <c r="AJ98" s="8"/>
    </row>
    <row r="99" ht="14.25" customHeight="1">
      <c r="A99" s="44"/>
      <c r="B99" s="12"/>
      <c r="C99" s="12"/>
      <c r="F99" s="12"/>
      <c r="G99" s="10"/>
      <c r="H99" s="8"/>
      <c r="I99" s="12"/>
      <c r="J99" s="8"/>
      <c r="K99" s="8"/>
      <c r="L99" s="8"/>
      <c r="M99" s="8"/>
      <c r="N99" s="8"/>
      <c r="O99" s="8"/>
      <c r="P99" s="12"/>
      <c r="Q99" s="8"/>
      <c r="R99" s="12"/>
      <c r="T99" s="12"/>
      <c r="AH99" s="8"/>
      <c r="AI99" s="8"/>
      <c r="AJ99" s="8"/>
    </row>
    <row r="100" ht="14.25" customHeight="1">
      <c r="A100" s="44"/>
      <c r="B100" s="12"/>
      <c r="C100" s="12"/>
      <c r="F100" s="12"/>
      <c r="G100" s="10"/>
      <c r="H100" s="8"/>
      <c r="I100" s="12"/>
      <c r="J100" s="8"/>
      <c r="K100" s="8"/>
      <c r="L100" s="8"/>
      <c r="M100" s="8"/>
      <c r="N100" s="8"/>
      <c r="O100" s="8"/>
      <c r="P100" s="12"/>
      <c r="Q100" s="8"/>
      <c r="R100" s="12"/>
      <c r="T100" s="12"/>
      <c r="AH100" s="8"/>
      <c r="AI100" s="8"/>
      <c r="AJ100" s="8"/>
    </row>
    <row r="101" ht="14.25" customHeight="1">
      <c r="A101" s="44"/>
      <c r="B101" s="12"/>
      <c r="C101" s="12"/>
      <c r="F101" s="12"/>
      <c r="G101" s="10"/>
      <c r="H101" s="8"/>
      <c r="I101" s="12"/>
      <c r="J101" s="8"/>
      <c r="K101" s="8"/>
      <c r="L101" s="8"/>
      <c r="M101" s="8"/>
      <c r="N101" s="8"/>
      <c r="O101" s="8"/>
      <c r="P101" s="12"/>
      <c r="Q101" s="8"/>
      <c r="R101" s="12"/>
      <c r="T101" s="12"/>
      <c r="AH101" s="8"/>
      <c r="AI101" s="8"/>
      <c r="AJ101" s="8"/>
    </row>
    <row r="102" ht="14.25" customHeight="1">
      <c r="A102" s="44"/>
      <c r="B102" s="12"/>
      <c r="C102" s="12"/>
      <c r="F102" s="12"/>
      <c r="G102" s="10"/>
      <c r="H102" s="8"/>
      <c r="I102" s="12"/>
      <c r="J102" s="8"/>
      <c r="K102" s="8"/>
      <c r="L102" s="8"/>
      <c r="M102" s="8"/>
      <c r="N102" s="8"/>
      <c r="O102" s="8"/>
      <c r="P102" s="12"/>
      <c r="Q102" s="8"/>
      <c r="R102" s="12"/>
      <c r="T102" s="12"/>
      <c r="AH102" s="8"/>
      <c r="AI102" s="8"/>
      <c r="AJ102" s="8"/>
    </row>
    <row r="103" ht="14.25" customHeight="1">
      <c r="A103" s="44"/>
      <c r="B103" s="12"/>
      <c r="C103" s="12"/>
      <c r="F103" s="12"/>
      <c r="G103" s="10"/>
      <c r="H103" s="8"/>
      <c r="I103" s="12"/>
      <c r="J103" s="8"/>
      <c r="K103" s="8"/>
      <c r="L103" s="8"/>
      <c r="M103" s="8"/>
      <c r="N103" s="8"/>
      <c r="O103" s="8"/>
      <c r="P103" s="12"/>
      <c r="Q103" s="8"/>
      <c r="R103" s="12"/>
      <c r="T103" s="12"/>
      <c r="AH103" s="8"/>
      <c r="AI103" s="8"/>
      <c r="AJ103" s="8"/>
    </row>
    <row r="104" ht="14.25" customHeight="1">
      <c r="A104" s="44"/>
      <c r="B104" s="12"/>
      <c r="C104" s="12"/>
      <c r="F104" s="12"/>
      <c r="G104" s="10"/>
      <c r="H104" s="8"/>
      <c r="I104" s="12"/>
      <c r="J104" s="8"/>
      <c r="K104" s="8"/>
      <c r="L104" s="8"/>
      <c r="M104" s="8"/>
      <c r="N104" s="8"/>
      <c r="O104" s="8"/>
      <c r="P104" s="12"/>
      <c r="Q104" s="8"/>
      <c r="R104" s="12"/>
      <c r="T104" s="12"/>
      <c r="AH104" s="8"/>
      <c r="AI104" s="8"/>
      <c r="AJ104" s="8"/>
    </row>
    <row r="105" ht="14.25" customHeight="1">
      <c r="A105" s="44"/>
      <c r="B105" s="12"/>
      <c r="C105" s="12"/>
      <c r="F105" s="12"/>
      <c r="G105" s="10"/>
      <c r="H105" s="8"/>
      <c r="I105" s="12"/>
      <c r="J105" s="8"/>
      <c r="K105" s="8"/>
      <c r="L105" s="8"/>
      <c r="M105" s="8"/>
      <c r="N105" s="8"/>
      <c r="O105" s="8"/>
      <c r="P105" s="12"/>
      <c r="Q105" s="8"/>
      <c r="R105" s="12"/>
      <c r="T105" s="12"/>
      <c r="AH105" s="8"/>
      <c r="AI105" s="8"/>
      <c r="AJ105" s="8"/>
    </row>
    <row r="106" ht="14.25" customHeight="1">
      <c r="A106" s="44"/>
      <c r="B106" s="12"/>
      <c r="C106" s="12"/>
      <c r="D106" s="12"/>
      <c r="E106" s="12"/>
      <c r="F106" s="12"/>
      <c r="G106" s="10"/>
      <c r="H106" s="8"/>
      <c r="I106" s="12"/>
      <c r="J106" s="8"/>
      <c r="K106" s="8"/>
      <c r="L106" s="8"/>
      <c r="M106" s="8"/>
      <c r="N106" s="8"/>
      <c r="O106" s="8"/>
      <c r="P106" s="12"/>
      <c r="Q106" s="8"/>
      <c r="R106" s="12"/>
      <c r="T106" s="12"/>
      <c r="AH106" s="8"/>
      <c r="AI106" s="8"/>
      <c r="AJ106" s="8"/>
    </row>
    <row r="107" ht="14.25" customHeight="1">
      <c r="A107" s="44"/>
      <c r="B107" s="12"/>
      <c r="C107" s="12"/>
      <c r="D107" s="12"/>
      <c r="E107" s="12"/>
      <c r="F107" s="12"/>
      <c r="G107" s="10"/>
      <c r="H107" s="8"/>
      <c r="I107" s="12"/>
      <c r="J107" s="8"/>
      <c r="K107" s="8"/>
      <c r="L107" s="8"/>
      <c r="M107" s="8"/>
      <c r="N107" s="8"/>
      <c r="O107" s="8"/>
      <c r="P107" s="12"/>
      <c r="Q107" s="8"/>
      <c r="R107" s="12"/>
      <c r="T107" s="12"/>
      <c r="AH107" s="8"/>
      <c r="AI107" s="8"/>
      <c r="AJ107" s="8"/>
    </row>
    <row r="108" ht="14.25" customHeight="1">
      <c r="A108" s="44"/>
      <c r="B108" s="12"/>
      <c r="C108" s="12"/>
      <c r="D108" s="12"/>
      <c r="E108" s="12"/>
      <c r="F108" s="12"/>
      <c r="G108" s="10"/>
      <c r="H108" s="8"/>
      <c r="I108" s="12"/>
      <c r="J108" s="8"/>
      <c r="K108" s="8"/>
      <c r="L108" s="8"/>
      <c r="M108" s="8"/>
      <c r="N108" s="8"/>
      <c r="O108" s="8"/>
      <c r="P108" s="12"/>
      <c r="Q108" s="8"/>
      <c r="R108" s="12"/>
      <c r="T108" s="12"/>
      <c r="AH108" s="8"/>
      <c r="AI108" s="8"/>
      <c r="AJ108" s="8"/>
    </row>
    <row r="109" ht="14.25" customHeight="1">
      <c r="A109" s="44"/>
      <c r="B109" s="12"/>
      <c r="C109" s="12"/>
      <c r="D109" s="12"/>
      <c r="E109" s="12"/>
      <c r="F109" s="12"/>
      <c r="G109" s="10"/>
      <c r="H109" s="8"/>
      <c r="I109" s="12"/>
      <c r="J109" s="8"/>
      <c r="K109" s="8"/>
      <c r="L109" s="8"/>
      <c r="M109" s="8"/>
      <c r="N109" s="8"/>
      <c r="O109" s="8"/>
      <c r="P109" s="12"/>
      <c r="Q109" s="8"/>
      <c r="R109" s="12"/>
      <c r="T109" s="12"/>
      <c r="AH109" s="8"/>
      <c r="AI109" s="8"/>
      <c r="AJ109" s="8"/>
    </row>
    <row r="110" ht="14.25" customHeight="1">
      <c r="A110" s="44"/>
      <c r="B110" s="12"/>
      <c r="C110" s="12"/>
      <c r="D110" s="12"/>
      <c r="E110" s="12"/>
      <c r="F110" s="12"/>
      <c r="G110" s="10"/>
      <c r="H110" s="8"/>
      <c r="I110" s="12"/>
      <c r="J110" s="8"/>
      <c r="K110" s="8"/>
      <c r="L110" s="8"/>
      <c r="M110" s="8"/>
      <c r="N110" s="8"/>
      <c r="O110" s="8"/>
      <c r="P110" s="12"/>
      <c r="Q110" s="8"/>
      <c r="R110" s="12"/>
      <c r="T110" s="12"/>
      <c r="AH110" s="8"/>
      <c r="AI110" s="8"/>
      <c r="AJ110" s="8"/>
    </row>
    <row r="111" ht="14.25" customHeight="1">
      <c r="A111" s="44"/>
      <c r="B111" s="12"/>
      <c r="C111" s="12"/>
      <c r="D111" s="12"/>
      <c r="E111" s="12"/>
      <c r="F111" s="12"/>
      <c r="G111" s="10"/>
      <c r="H111" s="8"/>
      <c r="I111" s="12"/>
      <c r="J111" s="8"/>
      <c r="K111" s="8"/>
      <c r="L111" s="8"/>
      <c r="M111" s="8"/>
      <c r="N111" s="8"/>
      <c r="O111" s="8"/>
      <c r="P111" s="12"/>
      <c r="Q111" s="8"/>
      <c r="R111" s="12"/>
      <c r="T111" s="12"/>
      <c r="AH111" s="8"/>
      <c r="AI111" s="8"/>
      <c r="AJ111" s="8"/>
    </row>
    <row r="112" ht="14.25" customHeight="1">
      <c r="A112" s="44"/>
      <c r="B112" s="12"/>
      <c r="C112" s="12"/>
      <c r="D112" s="12"/>
      <c r="E112" s="12"/>
      <c r="F112" s="12"/>
      <c r="G112" s="10"/>
      <c r="H112" s="8"/>
      <c r="I112" s="12"/>
      <c r="J112" s="8"/>
      <c r="K112" s="8"/>
      <c r="L112" s="8"/>
      <c r="M112" s="8"/>
      <c r="N112" s="8"/>
      <c r="O112" s="8"/>
      <c r="P112" s="12"/>
      <c r="Q112" s="8"/>
      <c r="R112" s="12"/>
      <c r="T112" s="12"/>
      <c r="AH112" s="8"/>
      <c r="AI112" s="8"/>
      <c r="AJ112" s="8"/>
    </row>
    <row r="113" ht="14.25" customHeight="1">
      <c r="A113" s="44"/>
      <c r="B113" s="12"/>
      <c r="C113" s="12"/>
      <c r="D113" s="12"/>
      <c r="E113" s="12"/>
      <c r="F113" s="12"/>
      <c r="G113" s="10"/>
      <c r="H113" s="8"/>
      <c r="I113" s="12"/>
      <c r="J113" s="8"/>
      <c r="K113" s="8"/>
      <c r="L113" s="8"/>
      <c r="M113" s="8"/>
      <c r="N113" s="8"/>
      <c r="O113" s="8"/>
      <c r="P113" s="12"/>
      <c r="Q113" s="8"/>
      <c r="R113" s="12"/>
      <c r="T113" s="12"/>
      <c r="AH113" s="8"/>
      <c r="AI113" s="8"/>
      <c r="AJ113" s="8"/>
    </row>
    <row r="114" ht="14.25" customHeight="1">
      <c r="A114" s="44"/>
      <c r="B114" s="12"/>
      <c r="C114" s="12"/>
      <c r="D114" s="12"/>
      <c r="E114" s="12"/>
      <c r="F114" s="12"/>
      <c r="G114" s="10"/>
      <c r="H114" s="8"/>
      <c r="I114" s="12"/>
      <c r="J114" s="8"/>
      <c r="K114" s="8"/>
      <c r="L114" s="8"/>
      <c r="M114" s="8"/>
      <c r="N114" s="8"/>
      <c r="O114" s="8"/>
      <c r="P114" s="12"/>
      <c r="Q114" s="8"/>
      <c r="R114" s="12"/>
      <c r="T114" s="12"/>
      <c r="AH114" s="8"/>
      <c r="AI114" s="8"/>
      <c r="AJ114" s="8"/>
    </row>
    <row r="115" ht="14.25" customHeight="1">
      <c r="A115" s="44"/>
      <c r="B115" s="12"/>
      <c r="C115" s="12"/>
      <c r="D115" s="12"/>
      <c r="E115" s="12"/>
      <c r="F115" s="12"/>
      <c r="G115" s="10"/>
      <c r="H115" s="8"/>
      <c r="I115" s="12"/>
      <c r="J115" s="8"/>
      <c r="K115" s="8"/>
      <c r="L115" s="8"/>
      <c r="M115" s="8"/>
      <c r="N115" s="8"/>
      <c r="O115" s="8"/>
      <c r="P115" s="12"/>
      <c r="Q115" s="8"/>
      <c r="R115" s="12"/>
      <c r="T115" s="12"/>
      <c r="AH115" s="8"/>
      <c r="AI115" s="8"/>
      <c r="AJ115" s="8"/>
    </row>
    <row r="116" ht="14.25" customHeight="1">
      <c r="A116" s="44"/>
      <c r="B116" s="12"/>
      <c r="C116" s="12"/>
      <c r="D116" s="12"/>
      <c r="E116" s="12"/>
      <c r="F116" s="12"/>
      <c r="G116" s="10"/>
      <c r="H116" s="8"/>
      <c r="I116" s="12"/>
      <c r="J116" s="8"/>
      <c r="K116" s="8"/>
      <c r="L116" s="8"/>
      <c r="M116" s="8"/>
      <c r="N116" s="8"/>
      <c r="O116" s="8"/>
      <c r="P116" s="12"/>
      <c r="Q116" s="8"/>
      <c r="R116" s="12"/>
      <c r="T116" s="12"/>
      <c r="AH116" s="8"/>
      <c r="AI116" s="8"/>
      <c r="AJ116" s="8"/>
    </row>
    <row r="117" ht="14.25" customHeight="1">
      <c r="A117" s="44"/>
      <c r="B117" s="12"/>
      <c r="C117" s="12"/>
      <c r="D117" s="12"/>
      <c r="E117" s="12"/>
      <c r="F117" s="12"/>
      <c r="G117" s="10"/>
      <c r="H117" s="8"/>
      <c r="I117" s="12"/>
      <c r="J117" s="8"/>
      <c r="K117" s="8"/>
      <c r="L117" s="8"/>
      <c r="M117" s="8"/>
      <c r="N117" s="8"/>
      <c r="O117" s="8"/>
      <c r="P117" s="12"/>
      <c r="Q117" s="8"/>
      <c r="R117" s="12"/>
      <c r="T117" s="12"/>
      <c r="AH117" s="8"/>
      <c r="AI117" s="8"/>
      <c r="AJ117" s="8"/>
    </row>
    <row r="118" ht="14.25" customHeight="1">
      <c r="A118" s="44"/>
      <c r="B118" s="12"/>
      <c r="C118" s="12"/>
      <c r="D118" s="12"/>
      <c r="E118" s="12"/>
      <c r="F118" s="12"/>
      <c r="G118" s="10"/>
      <c r="H118" s="8"/>
      <c r="I118" s="12"/>
      <c r="J118" s="8"/>
      <c r="K118" s="8"/>
      <c r="L118" s="8"/>
      <c r="M118" s="8"/>
      <c r="N118" s="8"/>
      <c r="O118" s="8"/>
      <c r="P118" s="12"/>
      <c r="Q118" s="8"/>
      <c r="R118" s="12"/>
      <c r="T118" s="12"/>
      <c r="AH118" s="8"/>
      <c r="AI118" s="8"/>
      <c r="AJ118" s="8"/>
    </row>
    <row r="119" ht="14.25" customHeight="1">
      <c r="A119" s="44"/>
      <c r="B119" s="12"/>
      <c r="C119" s="12"/>
      <c r="D119" s="12"/>
      <c r="E119" s="12"/>
      <c r="F119" s="12"/>
      <c r="G119" s="10"/>
      <c r="H119" s="8"/>
      <c r="I119" s="12"/>
      <c r="J119" s="8"/>
      <c r="K119" s="8"/>
      <c r="L119" s="8"/>
      <c r="M119" s="8"/>
      <c r="N119" s="8"/>
      <c r="O119" s="8"/>
      <c r="P119" s="12"/>
      <c r="Q119" s="8"/>
      <c r="R119" s="12"/>
      <c r="T119" s="12"/>
      <c r="AH119" s="8"/>
      <c r="AI119" s="8"/>
      <c r="AJ119" s="8"/>
    </row>
    <row r="120" ht="14.25" customHeight="1">
      <c r="A120" s="44"/>
      <c r="B120" s="12"/>
      <c r="C120" s="12"/>
      <c r="D120" s="12"/>
      <c r="E120" s="12"/>
      <c r="F120" s="12"/>
      <c r="G120" s="10"/>
      <c r="H120" s="8"/>
      <c r="I120" s="12"/>
      <c r="J120" s="8"/>
      <c r="K120" s="8"/>
      <c r="L120" s="8"/>
      <c r="M120" s="8"/>
      <c r="N120" s="8"/>
      <c r="O120" s="8"/>
      <c r="P120" s="12"/>
      <c r="Q120" s="8"/>
      <c r="R120" s="12"/>
      <c r="T120" s="12"/>
      <c r="AH120" s="8"/>
      <c r="AI120" s="8"/>
      <c r="AJ120" s="8"/>
    </row>
    <row r="121" ht="14.25" customHeight="1">
      <c r="A121" s="44"/>
      <c r="B121" s="12"/>
      <c r="C121" s="12"/>
      <c r="D121" s="12"/>
      <c r="E121" s="12"/>
      <c r="F121" s="12"/>
      <c r="G121" s="10"/>
      <c r="H121" s="8"/>
      <c r="I121" s="12"/>
      <c r="J121" s="8"/>
      <c r="K121" s="8"/>
      <c r="L121" s="8"/>
      <c r="M121" s="8"/>
      <c r="N121" s="8"/>
      <c r="O121" s="8"/>
      <c r="P121" s="12"/>
      <c r="Q121" s="8"/>
      <c r="R121" s="12"/>
      <c r="T121" s="12"/>
      <c r="AH121" s="8"/>
      <c r="AI121" s="8"/>
      <c r="AJ121" s="8"/>
    </row>
    <row r="122" ht="14.25" customHeight="1">
      <c r="A122" s="44"/>
      <c r="B122" s="12"/>
      <c r="C122" s="12"/>
      <c r="D122" s="12"/>
      <c r="E122" s="12"/>
      <c r="F122" s="12"/>
      <c r="G122" s="10"/>
      <c r="H122" s="8"/>
      <c r="I122" s="12"/>
      <c r="J122" s="8"/>
      <c r="K122" s="8"/>
      <c r="L122" s="8"/>
      <c r="M122" s="8"/>
      <c r="N122" s="8"/>
      <c r="O122" s="8"/>
      <c r="P122" s="12"/>
      <c r="Q122" s="8"/>
      <c r="R122" s="12"/>
      <c r="T122" s="12"/>
      <c r="AH122" s="8"/>
      <c r="AI122" s="8"/>
      <c r="AJ122" s="8"/>
    </row>
    <row r="123" ht="14.25" customHeight="1">
      <c r="A123" s="44"/>
      <c r="B123" s="12"/>
      <c r="C123" s="12"/>
      <c r="D123" s="12"/>
      <c r="E123" s="12"/>
      <c r="F123" s="12"/>
      <c r="G123" s="10"/>
      <c r="H123" s="8"/>
      <c r="I123" s="12"/>
      <c r="J123" s="8"/>
      <c r="K123" s="8"/>
      <c r="L123" s="8"/>
      <c r="M123" s="8"/>
      <c r="N123" s="8"/>
      <c r="O123" s="8"/>
      <c r="P123" s="12"/>
      <c r="Q123" s="8"/>
      <c r="R123" s="12"/>
      <c r="T123" s="12"/>
      <c r="AH123" s="8"/>
      <c r="AI123" s="8"/>
      <c r="AJ123" s="8"/>
    </row>
    <row r="124" ht="14.25" customHeight="1">
      <c r="A124" s="44"/>
      <c r="B124" s="12"/>
      <c r="C124" s="12"/>
      <c r="D124" s="12"/>
      <c r="E124" s="12"/>
      <c r="F124" s="12"/>
      <c r="G124" s="10"/>
      <c r="H124" s="8"/>
      <c r="I124" s="12"/>
      <c r="J124" s="8"/>
      <c r="K124" s="8"/>
      <c r="L124" s="8"/>
      <c r="M124" s="8"/>
      <c r="N124" s="8"/>
      <c r="O124" s="8"/>
      <c r="P124" s="12"/>
      <c r="Q124" s="8"/>
      <c r="R124" s="12"/>
      <c r="T124" s="12"/>
      <c r="AH124" s="8"/>
      <c r="AI124" s="8"/>
      <c r="AJ124" s="8"/>
    </row>
    <row r="125" ht="14.25" customHeight="1">
      <c r="A125" s="44"/>
      <c r="B125" s="12"/>
      <c r="C125" s="12"/>
      <c r="D125" s="12"/>
      <c r="E125" s="12"/>
      <c r="F125" s="12"/>
      <c r="G125" s="10"/>
      <c r="H125" s="8"/>
      <c r="I125" s="12"/>
      <c r="J125" s="8"/>
      <c r="K125" s="8"/>
      <c r="L125" s="8"/>
      <c r="M125" s="8"/>
      <c r="N125" s="8"/>
      <c r="O125" s="8"/>
      <c r="P125" s="12"/>
      <c r="Q125" s="8"/>
      <c r="R125" s="12"/>
      <c r="T125" s="12"/>
      <c r="AH125" s="8"/>
      <c r="AI125" s="8"/>
      <c r="AJ125" s="8"/>
    </row>
    <row r="126" ht="14.25" customHeight="1">
      <c r="A126" s="44"/>
      <c r="B126" s="12"/>
      <c r="C126" s="12"/>
      <c r="D126" s="12"/>
      <c r="E126" s="12"/>
      <c r="F126" s="12"/>
      <c r="G126" s="10"/>
      <c r="H126" s="8"/>
      <c r="I126" s="12"/>
      <c r="J126" s="8"/>
      <c r="K126" s="8"/>
      <c r="L126" s="8"/>
      <c r="M126" s="8"/>
      <c r="N126" s="8"/>
      <c r="O126" s="8"/>
      <c r="P126" s="12"/>
      <c r="Q126" s="8"/>
      <c r="R126" s="12"/>
      <c r="T126" s="12"/>
      <c r="AH126" s="8"/>
      <c r="AI126" s="8"/>
      <c r="AJ126" s="8"/>
    </row>
    <row r="127" ht="14.25" customHeight="1">
      <c r="A127" s="44"/>
      <c r="B127" s="12"/>
      <c r="C127" s="12"/>
      <c r="D127" s="12"/>
      <c r="E127" s="12"/>
      <c r="F127" s="12"/>
      <c r="G127" s="10"/>
      <c r="H127" s="8"/>
      <c r="I127" s="12"/>
      <c r="J127" s="8"/>
      <c r="K127" s="8"/>
      <c r="L127" s="8"/>
      <c r="M127" s="8"/>
      <c r="N127" s="8"/>
      <c r="O127" s="8"/>
      <c r="P127" s="12"/>
      <c r="Q127" s="8"/>
      <c r="R127" s="12"/>
      <c r="T127" s="12"/>
      <c r="AH127" s="8"/>
      <c r="AI127" s="8"/>
      <c r="AJ127" s="8"/>
    </row>
    <row r="128" ht="14.25" customHeight="1">
      <c r="A128" s="44"/>
      <c r="B128" s="12"/>
      <c r="C128" s="12"/>
      <c r="D128" s="12"/>
      <c r="E128" s="12"/>
      <c r="F128" s="12"/>
      <c r="G128" s="10"/>
      <c r="H128" s="8"/>
      <c r="I128" s="12"/>
      <c r="J128" s="8"/>
      <c r="K128" s="8"/>
      <c r="L128" s="8"/>
      <c r="M128" s="8"/>
      <c r="N128" s="8"/>
      <c r="O128" s="8"/>
      <c r="P128" s="12"/>
      <c r="Q128" s="8"/>
      <c r="R128" s="12"/>
      <c r="T128" s="12"/>
      <c r="AH128" s="8"/>
      <c r="AI128" s="8"/>
      <c r="AJ128" s="8"/>
    </row>
    <row r="129" ht="14.25" customHeight="1">
      <c r="A129" s="44"/>
      <c r="B129" s="12"/>
      <c r="C129" s="12"/>
      <c r="D129" s="12"/>
      <c r="E129" s="12"/>
      <c r="F129" s="12"/>
      <c r="G129" s="10"/>
      <c r="H129" s="8"/>
      <c r="I129" s="12"/>
      <c r="J129" s="8"/>
      <c r="K129" s="8"/>
      <c r="L129" s="8"/>
      <c r="M129" s="8"/>
      <c r="N129" s="8"/>
      <c r="O129" s="8"/>
      <c r="P129" s="12"/>
      <c r="Q129" s="8"/>
      <c r="R129" s="12"/>
      <c r="T129" s="12"/>
      <c r="AH129" s="8"/>
      <c r="AI129" s="8"/>
      <c r="AJ129" s="8"/>
    </row>
    <row r="130" ht="14.25" customHeight="1">
      <c r="A130" s="44"/>
      <c r="B130" s="12"/>
      <c r="C130" s="12"/>
      <c r="D130" s="12"/>
      <c r="E130" s="12"/>
      <c r="F130" s="12"/>
      <c r="G130" s="10"/>
      <c r="H130" s="8"/>
      <c r="I130" s="12"/>
      <c r="J130" s="8"/>
      <c r="K130" s="8"/>
      <c r="L130" s="8"/>
      <c r="M130" s="8"/>
      <c r="N130" s="8"/>
      <c r="O130" s="8"/>
      <c r="P130" s="12"/>
      <c r="Q130" s="8"/>
      <c r="R130" s="12"/>
      <c r="T130" s="12"/>
      <c r="AH130" s="8"/>
      <c r="AI130" s="8"/>
      <c r="AJ130" s="8"/>
    </row>
    <row r="131" ht="14.25" customHeight="1">
      <c r="A131" s="44"/>
      <c r="B131" s="12"/>
      <c r="C131" s="12"/>
      <c r="D131" s="12"/>
      <c r="E131" s="12"/>
      <c r="F131" s="12"/>
      <c r="G131" s="10"/>
      <c r="H131" s="8"/>
      <c r="I131" s="12"/>
      <c r="J131" s="8"/>
      <c r="K131" s="8"/>
      <c r="L131" s="8"/>
      <c r="M131" s="8"/>
      <c r="N131" s="8"/>
      <c r="O131" s="8"/>
      <c r="P131" s="12"/>
      <c r="Q131" s="8"/>
      <c r="R131" s="12"/>
      <c r="T131" s="12"/>
      <c r="AH131" s="8"/>
      <c r="AI131" s="8"/>
      <c r="AJ131" s="8"/>
    </row>
    <row r="132" ht="14.25" customHeight="1">
      <c r="A132" s="44"/>
      <c r="B132" s="12"/>
      <c r="C132" s="12"/>
      <c r="D132" s="12"/>
      <c r="E132" s="12"/>
      <c r="F132" s="12"/>
      <c r="G132" s="10"/>
      <c r="H132" s="8"/>
      <c r="I132" s="12"/>
      <c r="J132" s="8"/>
      <c r="K132" s="8"/>
      <c r="L132" s="8"/>
      <c r="M132" s="8"/>
      <c r="N132" s="8"/>
      <c r="O132" s="8"/>
      <c r="P132" s="12"/>
      <c r="Q132" s="8"/>
      <c r="R132" s="12"/>
      <c r="T132" s="12"/>
      <c r="AH132" s="8"/>
      <c r="AI132" s="8"/>
      <c r="AJ132" s="8"/>
    </row>
    <row r="133" ht="14.25" customHeight="1">
      <c r="A133" s="44"/>
      <c r="B133" s="12"/>
      <c r="C133" s="12"/>
      <c r="D133" s="12"/>
      <c r="E133" s="12"/>
      <c r="F133" s="12"/>
      <c r="G133" s="10"/>
      <c r="H133" s="8"/>
      <c r="I133" s="12"/>
      <c r="J133" s="8"/>
      <c r="K133" s="8"/>
      <c r="L133" s="8"/>
      <c r="M133" s="8"/>
      <c r="N133" s="8"/>
      <c r="O133" s="8"/>
      <c r="P133" s="12"/>
      <c r="Q133" s="8"/>
      <c r="R133" s="12"/>
      <c r="T133" s="12"/>
      <c r="AH133" s="8"/>
      <c r="AI133" s="8"/>
      <c r="AJ133" s="8"/>
    </row>
    <row r="134" ht="14.25" customHeight="1">
      <c r="A134" s="44"/>
      <c r="B134" s="12"/>
      <c r="C134" s="12"/>
      <c r="D134" s="12"/>
      <c r="E134" s="12"/>
      <c r="F134" s="12"/>
      <c r="G134" s="10"/>
      <c r="H134" s="8"/>
      <c r="I134" s="12"/>
      <c r="J134" s="8"/>
      <c r="K134" s="8"/>
      <c r="L134" s="8"/>
      <c r="M134" s="8"/>
      <c r="N134" s="8"/>
      <c r="O134" s="8"/>
      <c r="P134" s="12"/>
      <c r="Q134" s="8"/>
      <c r="R134" s="12"/>
      <c r="T134" s="12"/>
      <c r="AH134" s="8"/>
      <c r="AI134" s="8"/>
      <c r="AJ134" s="8"/>
    </row>
    <row r="135" ht="14.25" customHeight="1">
      <c r="A135" s="44"/>
      <c r="B135" s="12"/>
      <c r="C135" s="12"/>
      <c r="D135" s="12"/>
      <c r="E135" s="12"/>
      <c r="F135" s="12"/>
      <c r="G135" s="10"/>
      <c r="H135" s="8"/>
      <c r="I135" s="12"/>
      <c r="J135" s="8"/>
      <c r="K135" s="8"/>
      <c r="L135" s="8"/>
      <c r="M135" s="8"/>
      <c r="N135" s="8"/>
      <c r="O135" s="8"/>
      <c r="P135" s="12"/>
      <c r="Q135" s="8"/>
      <c r="R135" s="12"/>
      <c r="T135" s="12"/>
      <c r="AH135" s="8"/>
      <c r="AI135" s="8"/>
      <c r="AJ135" s="8"/>
    </row>
    <row r="136" ht="14.25" customHeight="1">
      <c r="A136" s="44"/>
      <c r="B136" s="12"/>
      <c r="C136" s="12"/>
      <c r="D136" s="12"/>
      <c r="E136" s="12"/>
      <c r="F136" s="12"/>
      <c r="G136" s="10"/>
      <c r="H136" s="8"/>
      <c r="I136" s="12"/>
      <c r="J136" s="8"/>
      <c r="K136" s="8"/>
      <c r="L136" s="8"/>
      <c r="M136" s="8"/>
      <c r="N136" s="8"/>
      <c r="O136" s="8"/>
      <c r="P136" s="12"/>
      <c r="Q136" s="8"/>
      <c r="R136" s="12"/>
      <c r="T136" s="12"/>
      <c r="AH136" s="8"/>
      <c r="AI136" s="8"/>
      <c r="AJ136" s="8"/>
    </row>
    <row r="137" ht="14.25" customHeight="1">
      <c r="A137" s="44"/>
      <c r="B137" s="12"/>
      <c r="C137" s="12"/>
      <c r="D137" s="12"/>
      <c r="E137" s="12"/>
      <c r="F137" s="12"/>
      <c r="G137" s="10"/>
      <c r="H137" s="8"/>
      <c r="I137" s="12"/>
      <c r="J137" s="8"/>
      <c r="K137" s="8"/>
      <c r="L137" s="8"/>
      <c r="M137" s="8"/>
      <c r="N137" s="8"/>
      <c r="O137" s="8"/>
      <c r="P137" s="12"/>
      <c r="Q137" s="8"/>
      <c r="R137" s="12"/>
      <c r="T137" s="12"/>
      <c r="AH137" s="8"/>
      <c r="AI137" s="8"/>
      <c r="AJ137" s="8"/>
    </row>
    <row r="138" ht="14.25" customHeight="1">
      <c r="A138" s="44"/>
      <c r="B138" s="12"/>
      <c r="C138" s="12"/>
      <c r="D138" s="12"/>
      <c r="E138" s="12"/>
      <c r="F138" s="12"/>
      <c r="G138" s="10"/>
      <c r="H138" s="8"/>
      <c r="I138" s="12"/>
      <c r="J138" s="8"/>
      <c r="K138" s="8"/>
      <c r="L138" s="8"/>
      <c r="M138" s="8"/>
      <c r="N138" s="8"/>
      <c r="O138" s="8"/>
      <c r="P138" s="12"/>
      <c r="Q138" s="8"/>
      <c r="R138" s="12"/>
      <c r="T138" s="12"/>
      <c r="AH138" s="8"/>
      <c r="AI138" s="8"/>
      <c r="AJ138" s="8"/>
    </row>
    <row r="139" ht="14.25" customHeight="1">
      <c r="A139" s="44"/>
      <c r="B139" s="12"/>
      <c r="C139" s="12"/>
      <c r="D139" s="12"/>
      <c r="E139" s="12"/>
      <c r="F139" s="12"/>
      <c r="G139" s="10"/>
      <c r="H139" s="8"/>
      <c r="I139" s="12"/>
      <c r="J139" s="8"/>
      <c r="K139" s="8"/>
      <c r="L139" s="8"/>
      <c r="M139" s="8"/>
      <c r="N139" s="8"/>
      <c r="O139" s="8"/>
      <c r="P139" s="12"/>
      <c r="Q139" s="8"/>
      <c r="R139" s="12"/>
      <c r="T139" s="12"/>
      <c r="AH139" s="8"/>
      <c r="AI139" s="8"/>
      <c r="AJ139" s="8"/>
    </row>
    <row r="140" ht="14.25" customHeight="1">
      <c r="A140" s="44"/>
      <c r="B140" s="12"/>
      <c r="C140" s="12"/>
      <c r="D140" s="12"/>
      <c r="E140" s="12"/>
      <c r="F140" s="12"/>
      <c r="G140" s="10"/>
      <c r="H140" s="8"/>
      <c r="I140" s="12"/>
      <c r="J140" s="8"/>
      <c r="K140" s="8"/>
      <c r="L140" s="8"/>
      <c r="M140" s="8"/>
      <c r="N140" s="8"/>
      <c r="O140" s="8"/>
      <c r="P140" s="12"/>
      <c r="Q140" s="8"/>
      <c r="R140" s="12"/>
      <c r="T140" s="12"/>
      <c r="AH140" s="8"/>
      <c r="AI140" s="8"/>
      <c r="AJ140" s="8"/>
    </row>
    <row r="141" ht="14.25" customHeight="1">
      <c r="A141" s="44"/>
      <c r="B141" s="12"/>
      <c r="C141" s="12"/>
      <c r="D141" s="12"/>
      <c r="E141" s="12"/>
      <c r="F141" s="12"/>
      <c r="G141" s="10"/>
      <c r="H141" s="8"/>
      <c r="I141" s="12"/>
      <c r="J141" s="8"/>
      <c r="K141" s="8"/>
      <c r="L141" s="8"/>
      <c r="M141" s="8"/>
      <c r="N141" s="8"/>
      <c r="O141" s="8"/>
      <c r="P141" s="12"/>
      <c r="Q141" s="8"/>
      <c r="R141" s="12"/>
      <c r="T141" s="12"/>
      <c r="AH141" s="8"/>
      <c r="AI141" s="8"/>
      <c r="AJ141" s="8"/>
    </row>
    <row r="142" ht="14.25" customHeight="1">
      <c r="A142" s="44"/>
      <c r="B142" s="12"/>
      <c r="C142" s="12"/>
      <c r="D142" s="12"/>
      <c r="E142" s="12"/>
      <c r="F142" s="12"/>
      <c r="G142" s="10"/>
      <c r="H142" s="8"/>
      <c r="I142" s="12"/>
      <c r="J142" s="8"/>
      <c r="K142" s="8"/>
      <c r="L142" s="8"/>
      <c r="M142" s="8"/>
      <c r="N142" s="8"/>
      <c r="O142" s="8"/>
      <c r="P142" s="12"/>
      <c r="Q142" s="8"/>
      <c r="R142" s="12"/>
      <c r="T142" s="12"/>
      <c r="AH142" s="8"/>
      <c r="AI142" s="8"/>
      <c r="AJ142" s="8"/>
    </row>
    <row r="143" ht="14.25" customHeight="1">
      <c r="A143" s="44"/>
      <c r="B143" s="12"/>
      <c r="C143" s="12"/>
      <c r="D143" s="12"/>
      <c r="E143" s="12"/>
      <c r="F143" s="12"/>
      <c r="G143" s="10"/>
      <c r="H143" s="8"/>
      <c r="I143" s="12"/>
      <c r="J143" s="8"/>
      <c r="K143" s="8"/>
      <c r="L143" s="8"/>
      <c r="M143" s="8"/>
      <c r="N143" s="8"/>
      <c r="O143" s="8"/>
      <c r="P143" s="12"/>
      <c r="Q143" s="8"/>
      <c r="R143" s="12"/>
      <c r="T143" s="12"/>
      <c r="AH143" s="8"/>
      <c r="AI143" s="8"/>
      <c r="AJ143" s="8"/>
    </row>
    <row r="144" ht="14.25" customHeight="1">
      <c r="A144" s="44"/>
      <c r="B144" s="12"/>
      <c r="C144" s="12"/>
      <c r="D144" s="12"/>
      <c r="E144" s="12"/>
      <c r="F144" s="12"/>
      <c r="G144" s="10"/>
      <c r="H144" s="8"/>
      <c r="I144" s="12"/>
      <c r="J144" s="8"/>
      <c r="K144" s="8"/>
      <c r="L144" s="8"/>
      <c r="M144" s="8"/>
      <c r="N144" s="8"/>
      <c r="O144" s="8"/>
      <c r="P144" s="12"/>
      <c r="Q144" s="8"/>
      <c r="R144" s="12"/>
      <c r="T144" s="12"/>
      <c r="AH144" s="8"/>
      <c r="AI144" s="8"/>
      <c r="AJ144" s="8"/>
    </row>
    <row r="145" ht="14.25" customHeight="1">
      <c r="A145" s="44"/>
      <c r="B145" s="12"/>
      <c r="C145" s="12"/>
      <c r="D145" s="12"/>
      <c r="E145" s="12"/>
      <c r="F145" s="12"/>
      <c r="G145" s="10"/>
      <c r="H145" s="8"/>
      <c r="I145" s="12"/>
      <c r="J145" s="8"/>
      <c r="K145" s="8"/>
      <c r="L145" s="8"/>
      <c r="M145" s="8"/>
      <c r="N145" s="8"/>
      <c r="O145" s="8"/>
      <c r="P145" s="12"/>
      <c r="Q145" s="8"/>
      <c r="R145" s="12"/>
      <c r="T145" s="12"/>
      <c r="AH145" s="8"/>
      <c r="AI145" s="8"/>
      <c r="AJ145" s="8"/>
    </row>
    <row r="146" ht="14.25" customHeight="1">
      <c r="A146" s="44"/>
      <c r="B146" s="12"/>
      <c r="C146" s="12"/>
      <c r="D146" s="12"/>
      <c r="E146" s="12"/>
      <c r="F146" s="12"/>
      <c r="G146" s="10"/>
      <c r="H146" s="8"/>
      <c r="I146" s="12"/>
      <c r="J146" s="8"/>
      <c r="K146" s="8"/>
      <c r="L146" s="8"/>
      <c r="M146" s="8"/>
      <c r="N146" s="8"/>
      <c r="O146" s="8"/>
      <c r="P146" s="12"/>
      <c r="Q146" s="8"/>
      <c r="R146" s="12"/>
      <c r="T146" s="12"/>
      <c r="AH146" s="8"/>
      <c r="AI146" s="8"/>
      <c r="AJ146" s="8"/>
    </row>
    <row r="147" ht="14.25" customHeight="1">
      <c r="A147" s="44"/>
      <c r="B147" s="12"/>
      <c r="C147" s="12"/>
      <c r="D147" s="12"/>
      <c r="E147" s="12"/>
      <c r="F147" s="12"/>
      <c r="G147" s="10"/>
      <c r="H147" s="8"/>
      <c r="I147" s="12"/>
      <c r="J147" s="8"/>
      <c r="K147" s="8"/>
      <c r="L147" s="8"/>
      <c r="M147" s="8"/>
      <c r="N147" s="8"/>
      <c r="O147" s="8"/>
      <c r="P147" s="12"/>
      <c r="Q147" s="8"/>
      <c r="R147" s="12"/>
      <c r="T147" s="12"/>
      <c r="AH147" s="8"/>
      <c r="AI147" s="8"/>
      <c r="AJ147" s="8"/>
    </row>
    <row r="148" ht="14.25" customHeight="1">
      <c r="A148" s="44"/>
      <c r="B148" s="12"/>
      <c r="C148" s="12"/>
      <c r="D148" s="12"/>
      <c r="E148" s="12"/>
      <c r="F148" s="12"/>
      <c r="G148" s="10"/>
      <c r="H148" s="8"/>
      <c r="I148" s="12"/>
      <c r="J148" s="8"/>
      <c r="K148" s="8"/>
      <c r="L148" s="8"/>
      <c r="M148" s="8"/>
      <c r="N148" s="8"/>
      <c r="O148" s="8"/>
      <c r="P148" s="12"/>
      <c r="Q148" s="8"/>
      <c r="R148" s="12"/>
      <c r="T148" s="12"/>
      <c r="AH148" s="8"/>
      <c r="AI148" s="8"/>
      <c r="AJ148" s="8"/>
    </row>
    <row r="149" ht="14.25" customHeight="1">
      <c r="A149" s="44"/>
      <c r="B149" s="12"/>
      <c r="C149" s="12"/>
      <c r="D149" s="12"/>
      <c r="E149" s="12"/>
      <c r="F149" s="12"/>
      <c r="G149" s="10"/>
      <c r="H149" s="8"/>
      <c r="I149" s="12"/>
      <c r="J149" s="8"/>
      <c r="K149" s="8"/>
      <c r="L149" s="8"/>
      <c r="M149" s="8"/>
      <c r="N149" s="8"/>
      <c r="O149" s="8"/>
      <c r="P149" s="12"/>
      <c r="Q149" s="8"/>
      <c r="R149" s="12"/>
      <c r="T149" s="12"/>
      <c r="AH149" s="8"/>
      <c r="AI149" s="8"/>
      <c r="AJ149" s="8"/>
    </row>
    <row r="150" ht="14.25" customHeight="1">
      <c r="A150" s="44"/>
      <c r="B150" s="12"/>
      <c r="C150" s="12"/>
      <c r="D150" s="12"/>
      <c r="E150" s="12"/>
      <c r="F150" s="12"/>
      <c r="G150" s="10"/>
      <c r="H150" s="8"/>
      <c r="I150" s="12"/>
      <c r="J150" s="8"/>
      <c r="K150" s="8"/>
      <c r="L150" s="8"/>
      <c r="M150" s="8"/>
      <c r="N150" s="8"/>
      <c r="O150" s="8"/>
      <c r="P150" s="12"/>
      <c r="Q150" s="8"/>
      <c r="R150" s="12"/>
      <c r="T150" s="12"/>
      <c r="AH150" s="8"/>
      <c r="AI150" s="8"/>
      <c r="AJ150" s="8"/>
    </row>
    <row r="151" ht="14.25" customHeight="1">
      <c r="A151" s="44"/>
      <c r="B151" s="12"/>
      <c r="C151" s="12"/>
      <c r="D151" s="12"/>
      <c r="E151" s="12"/>
      <c r="F151" s="12"/>
      <c r="G151" s="10"/>
      <c r="H151" s="8"/>
      <c r="I151" s="12"/>
      <c r="J151" s="8"/>
      <c r="K151" s="8"/>
      <c r="L151" s="8"/>
      <c r="M151" s="8"/>
      <c r="N151" s="8"/>
      <c r="O151" s="8"/>
      <c r="P151" s="12"/>
      <c r="Q151" s="8"/>
      <c r="R151" s="12"/>
      <c r="T151" s="12"/>
      <c r="AH151" s="8"/>
      <c r="AI151" s="8"/>
      <c r="AJ151" s="8"/>
    </row>
    <row r="152" ht="14.25" customHeight="1">
      <c r="A152" s="44"/>
      <c r="B152" s="12"/>
      <c r="C152" s="12"/>
      <c r="D152" s="12"/>
      <c r="E152" s="12"/>
      <c r="F152" s="12"/>
      <c r="G152" s="10"/>
      <c r="H152" s="8"/>
      <c r="I152" s="12"/>
      <c r="J152" s="8"/>
      <c r="K152" s="8"/>
      <c r="L152" s="8"/>
      <c r="M152" s="8"/>
      <c r="N152" s="8"/>
      <c r="O152" s="8"/>
      <c r="P152" s="12"/>
      <c r="Q152" s="8"/>
      <c r="R152" s="12"/>
      <c r="T152" s="12"/>
      <c r="AH152" s="8"/>
      <c r="AI152" s="8"/>
      <c r="AJ152" s="8"/>
    </row>
    <row r="153" ht="14.25" customHeight="1">
      <c r="A153" s="44"/>
      <c r="B153" s="12"/>
      <c r="C153" s="12"/>
      <c r="D153" s="12"/>
      <c r="E153" s="12"/>
      <c r="F153" s="12"/>
      <c r="G153" s="10"/>
      <c r="H153" s="8"/>
      <c r="I153" s="12"/>
      <c r="J153" s="8"/>
      <c r="K153" s="8"/>
      <c r="L153" s="8"/>
      <c r="M153" s="8"/>
      <c r="N153" s="8"/>
      <c r="O153" s="8"/>
      <c r="P153" s="12"/>
      <c r="Q153" s="8"/>
      <c r="R153" s="12"/>
      <c r="T153" s="12"/>
      <c r="AH153" s="8"/>
      <c r="AI153" s="8"/>
      <c r="AJ153" s="8"/>
    </row>
    <row r="154" ht="14.25" customHeight="1">
      <c r="A154" s="44"/>
      <c r="B154" s="12"/>
      <c r="C154" s="12"/>
      <c r="D154" s="12"/>
      <c r="E154" s="12"/>
      <c r="F154" s="12"/>
      <c r="G154" s="10"/>
      <c r="H154" s="8"/>
      <c r="I154" s="12"/>
      <c r="J154" s="8"/>
      <c r="K154" s="8"/>
      <c r="L154" s="8"/>
      <c r="M154" s="8"/>
      <c r="N154" s="8"/>
      <c r="O154" s="8"/>
      <c r="P154" s="12"/>
      <c r="Q154" s="8"/>
      <c r="R154" s="12"/>
      <c r="T154" s="12"/>
      <c r="AH154" s="8"/>
      <c r="AI154" s="8"/>
      <c r="AJ154" s="8"/>
    </row>
    <row r="155" ht="14.25" customHeight="1">
      <c r="A155" s="44"/>
      <c r="B155" s="12"/>
      <c r="C155" s="12"/>
      <c r="D155" s="12"/>
      <c r="E155" s="12"/>
      <c r="F155" s="12"/>
      <c r="G155" s="10"/>
      <c r="H155" s="8"/>
      <c r="I155" s="12"/>
      <c r="J155" s="8"/>
      <c r="K155" s="8"/>
      <c r="L155" s="8"/>
      <c r="M155" s="8"/>
      <c r="N155" s="8"/>
      <c r="O155" s="8"/>
      <c r="P155" s="12"/>
      <c r="Q155" s="8"/>
      <c r="R155" s="12"/>
      <c r="T155" s="12"/>
      <c r="AH155" s="8"/>
      <c r="AI155" s="8"/>
      <c r="AJ155" s="8"/>
    </row>
    <row r="156" ht="14.25" customHeight="1">
      <c r="A156" s="44"/>
      <c r="B156" s="12"/>
      <c r="C156" s="12"/>
      <c r="D156" s="12"/>
      <c r="E156" s="12"/>
      <c r="F156" s="12"/>
      <c r="G156" s="10"/>
      <c r="H156" s="8"/>
      <c r="I156" s="12"/>
      <c r="J156" s="8"/>
      <c r="K156" s="8"/>
      <c r="L156" s="8"/>
      <c r="M156" s="8"/>
      <c r="N156" s="8"/>
      <c r="O156" s="8"/>
      <c r="P156" s="12"/>
      <c r="Q156" s="8"/>
      <c r="R156" s="12"/>
      <c r="T156" s="12"/>
      <c r="AH156" s="8"/>
      <c r="AI156" s="8"/>
      <c r="AJ156" s="8"/>
    </row>
    <row r="157" ht="14.25" customHeight="1">
      <c r="A157" s="44"/>
      <c r="B157" s="12"/>
      <c r="C157" s="12"/>
      <c r="D157" s="12"/>
      <c r="E157" s="12"/>
      <c r="F157" s="12"/>
      <c r="G157" s="10"/>
      <c r="H157" s="8"/>
      <c r="I157" s="12"/>
      <c r="J157" s="8"/>
      <c r="K157" s="8"/>
      <c r="L157" s="8"/>
      <c r="M157" s="8"/>
      <c r="N157" s="8"/>
      <c r="O157" s="8"/>
      <c r="P157" s="12"/>
      <c r="Q157" s="8"/>
      <c r="R157" s="12"/>
      <c r="T157" s="12"/>
      <c r="AH157" s="8"/>
      <c r="AI157" s="8"/>
      <c r="AJ157" s="8"/>
    </row>
    <row r="158" ht="14.25" customHeight="1">
      <c r="A158" s="44"/>
      <c r="B158" s="12"/>
      <c r="C158" s="12"/>
      <c r="D158" s="12"/>
      <c r="E158" s="12"/>
      <c r="F158" s="12"/>
      <c r="G158" s="10"/>
      <c r="H158" s="8"/>
      <c r="I158" s="12"/>
      <c r="J158" s="8"/>
      <c r="K158" s="8"/>
      <c r="L158" s="8"/>
      <c r="M158" s="8"/>
      <c r="N158" s="8"/>
      <c r="O158" s="8"/>
      <c r="P158" s="12"/>
      <c r="Q158" s="8"/>
      <c r="R158" s="12"/>
      <c r="T158" s="12"/>
      <c r="AH158" s="8"/>
      <c r="AI158" s="8"/>
      <c r="AJ158" s="8"/>
    </row>
    <row r="159" ht="14.25" customHeight="1">
      <c r="A159" s="44"/>
      <c r="B159" s="12"/>
      <c r="C159" s="12"/>
      <c r="D159" s="12"/>
      <c r="E159" s="12"/>
      <c r="F159" s="12"/>
      <c r="G159" s="10"/>
      <c r="H159" s="8"/>
      <c r="I159" s="12"/>
      <c r="J159" s="8"/>
      <c r="K159" s="8"/>
      <c r="L159" s="8"/>
      <c r="M159" s="8"/>
      <c r="N159" s="8"/>
      <c r="O159" s="8"/>
      <c r="P159" s="12"/>
      <c r="Q159" s="8"/>
      <c r="R159" s="12"/>
      <c r="T159" s="12"/>
      <c r="AH159" s="8"/>
      <c r="AI159" s="8"/>
      <c r="AJ159" s="8"/>
    </row>
    <row r="160" ht="14.25" customHeight="1">
      <c r="A160" s="44"/>
      <c r="B160" s="12"/>
      <c r="C160" s="12"/>
      <c r="D160" s="12"/>
      <c r="E160" s="12"/>
      <c r="F160" s="12"/>
      <c r="G160" s="10"/>
      <c r="H160" s="8"/>
      <c r="I160" s="12"/>
      <c r="J160" s="8"/>
      <c r="K160" s="8"/>
      <c r="L160" s="8"/>
      <c r="M160" s="8"/>
      <c r="N160" s="8"/>
      <c r="O160" s="8"/>
      <c r="P160" s="12"/>
      <c r="Q160" s="8"/>
      <c r="R160" s="12"/>
      <c r="T160" s="12"/>
      <c r="AH160" s="8"/>
      <c r="AI160" s="8"/>
      <c r="AJ160" s="8"/>
    </row>
    <row r="161" ht="14.25" customHeight="1">
      <c r="A161" s="44"/>
      <c r="B161" s="12"/>
      <c r="C161" s="12"/>
      <c r="D161" s="12"/>
      <c r="E161" s="12"/>
      <c r="F161" s="12"/>
      <c r="G161" s="10"/>
      <c r="H161" s="8"/>
      <c r="I161" s="12"/>
      <c r="J161" s="8"/>
      <c r="K161" s="8"/>
      <c r="L161" s="8"/>
      <c r="M161" s="8"/>
      <c r="N161" s="8"/>
      <c r="O161" s="8"/>
      <c r="P161" s="12"/>
      <c r="Q161" s="8"/>
      <c r="R161" s="12"/>
      <c r="T161" s="12"/>
      <c r="AH161" s="8"/>
      <c r="AI161" s="8"/>
      <c r="AJ161" s="8"/>
    </row>
    <row r="162" ht="14.25" customHeight="1">
      <c r="A162" s="44"/>
      <c r="B162" s="12"/>
      <c r="C162" s="12"/>
      <c r="D162" s="12"/>
      <c r="E162" s="12"/>
      <c r="F162" s="12"/>
      <c r="G162" s="10"/>
      <c r="H162" s="8"/>
      <c r="I162" s="12"/>
      <c r="J162" s="8"/>
      <c r="K162" s="8"/>
      <c r="L162" s="8"/>
      <c r="M162" s="8"/>
      <c r="N162" s="8"/>
      <c r="O162" s="8"/>
      <c r="P162" s="12"/>
      <c r="Q162" s="8"/>
      <c r="R162" s="12"/>
      <c r="T162" s="12"/>
      <c r="AH162" s="8"/>
      <c r="AI162" s="8"/>
      <c r="AJ162" s="8"/>
    </row>
    <row r="163" ht="14.25" customHeight="1">
      <c r="A163" s="44"/>
      <c r="B163" s="12"/>
      <c r="C163" s="12"/>
      <c r="D163" s="12"/>
      <c r="E163" s="12"/>
      <c r="F163" s="12"/>
      <c r="G163" s="10"/>
      <c r="H163" s="8"/>
      <c r="I163" s="12"/>
      <c r="J163" s="8"/>
      <c r="K163" s="8"/>
      <c r="L163" s="8"/>
      <c r="M163" s="8"/>
      <c r="N163" s="8"/>
      <c r="O163" s="8"/>
      <c r="P163" s="12"/>
      <c r="Q163" s="8"/>
      <c r="R163" s="12"/>
      <c r="T163" s="12"/>
      <c r="AH163" s="8"/>
      <c r="AI163" s="8"/>
      <c r="AJ163" s="8"/>
    </row>
    <row r="164" ht="14.25" customHeight="1">
      <c r="A164" s="44"/>
      <c r="B164" s="12"/>
      <c r="C164" s="12"/>
      <c r="D164" s="12"/>
      <c r="E164" s="12"/>
      <c r="F164" s="12"/>
      <c r="G164" s="10"/>
      <c r="H164" s="8"/>
      <c r="I164" s="12"/>
      <c r="J164" s="8"/>
      <c r="K164" s="8"/>
      <c r="L164" s="8"/>
      <c r="M164" s="8"/>
      <c r="N164" s="8"/>
      <c r="O164" s="8"/>
      <c r="P164" s="12"/>
      <c r="Q164" s="8"/>
      <c r="R164" s="12"/>
      <c r="T164" s="12"/>
      <c r="AH164" s="8"/>
      <c r="AI164" s="8"/>
      <c r="AJ164" s="8"/>
    </row>
    <row r="165" ht="14.25" customHeight="1">
      <c r="A165" s="44"/>
      <c r="B165" s="12"/>
      <c r="C165" s="12"/>
      <c r="D165" s="12"/>
      <c r="E165" s="12"/>
      <c r="F165" s="12"/>
      <c r="G165" s="10"/>
      <c r="H165" s="8"/>
      <c r="I165" s="12"/>
      <c r="J165" s="8"/>
      <c r="K165" s="8"/>
      <c r="L165" s="8"/>
      <c r="M165" s="8"/>
      <c r="N165" s="8"/>
      <c r="O165" s="8"/>
      <c r="P165" s="12"/>
      <c r="Q165" s="8"/>
      <c r="R165" s="12"/>
      <c r="T165" s="12"/>
      <c r="AH165" s="8"/>
      <c r="AI165" s="8"/>
      <c r="AJ165" s="8"/>
    </row>
    <row r="166" ht="14.25" customHeight="1">
      <c r="A166" s="44"/>
      <c r="B166" s="12"/>
      <c r="C166" s="12"/>
      <c r="D166" s="12"/>
      <c r="E166" s="12"/>
      <c r="F166" s="12"/>
      <c r="G166" s="10"/>
      <c r="H166" s="8"/>
      <c r="I166" s="12"/>
      <c r="J166" s="8"/>
      <c r="K166" s="8"/>
      <c r="L166" s="8"/>
      <c r="M166" s="8"/>
      <c r="N166" s="8"/>
      <c r="O166" s="8"/>
      <c r="P166" s="12"/>
      <c r="Q166" s="8"/>
      <c r="R166" s="12"/>
      <c r="T166" s="12"/>
      <c r="AH166" s="8"/>
      <c r="AI166" s="8"/>
      <c r="AJ166" s="8"/>
    </row>
    <row r="167" ht="14.25" customHeight="1">
      <c r="A167" s="44"/>
      <c r="B167" s="12"/>
      <c r="C167" s="12"/>
      <c r="D167" s="12"/>
      <c r="E167" s="12"/>
      <c r="F167" s="12"/>
      <c r="G167" s="10"/>
      <c r="H167" s="8"/>
      <c r="I167" s="12"/>
      <c r="J167" s="8"/>
      <c r="K167" s="8"/>
      <c r="L167" s="8"/>
      <c r="M167" s="8"/>
      <c r="N167" s="8"/>
      <c r="O167" s="8"/>
      <c r="P167" s="12"/>
      <c r="Q167" s="8"/>
      <c r="R167" s="12"/>
      <c r="T167" s="12"/>
      <c r="AH167" s="8"/>
      <c r="AI167" s="8"/>
      <c r="AJ167" s="8"/>
    </row>
    <row r="168" ht="14.25" customHeight="1">
      <c r="A168" s="44"/>
      <c r="B168" s="12"/>
      <c r="C168" s="12"/>
      <c r="D168" s="12"/>
      <c r="E168" s="12"/>
      <c r="F168" s="12"/>
      <c r="G168" s="10"/>
      <c r="H168" s="8"/>
      <c r="I168" s="12"/>
      <c r="J168" s="8"/>
      <c r="K168" s="8"/>
      <c r="L168" s="8"/>
      <c r="M168" s="8"/>
      <c r="N168" s="8"/>
      <c r="O168" s="8"/>
      <c r="P168" s="12"/>
      <c r="Q168" s="8"/>
      <c r="R168" s="12"/>
      <c r="T168" s="12"/>
      <c r="AH168" s="8"/>
      <c r="AI168" s="8"/>
      <c r="AJ168" s="8"/>
    </row>
    <row r="169" ht="14.25" customHeight="1">
      <c r="A169" s="44"/>
      <c r="B169" s="12"/>
      <c r="C169" s="12"/>
      <c r="D169" s="12"/>
      <c r="E169" s="12"/>
      <c r="F169" s="12"/>
      <c r="G169" s="10"/>
      <c r="H169" s="8"/>
      <c r="I169" s="12"/>
      <c r="J169" s="8"/>
      <c r="K169" s="8"/>
      <c r="L169" s="8"/>
      <c r="M169" s="8"/>
      <c r="N169" s="8"/>
      <c r="O169" s="8"/>
      <c r="P169" s="12"/>
      <c r="Q169" s="8"/>
      <c r="R169" s="12"/>
      <c r="T169" s="12"/>
      <c r="AH169" s="8"/>
      <c r="AI169" s="8"/>
      <c r="AJ169" s="8"/>
    </row>
    <row r="170" ht="14.25" customHeight="1">
      <c r="A170" s="44"/>
      <c r="B170" s="12"/>
      <c r="C170" s="12"/>
      <c r="D170" s="12"/>
      <c r="E170" s="12"/>
      <c r="F170" s="12"/>
      <c r="G170" s="10"/>
      <c r="H170" s="8"/>
      <c r="I170" s="12"/>
      <c r="J170" s="8"/>
      <c r="K170" s="8"/>
      <c r="L170" s="8"/>
      <c r="M170" s="8"/>
      <c r="N170" s="8"/>
      <c r="O170" s="8"/>
      <c r="P170" s="12"/>
      <c r="Q170" s="8"/>
      <c r="R170" s="12"/>
      <c r="T170" s="12"/>
      <c r="AH170" s="8"/>
      <c r="AI170" s="8"/>
      <c r="AJ170" s="8"/>
    </row>
    <row r="171" ht="14.25" customHeight="1">
      <c r="A171" s="44"/>
      <c r="B171" s="12"/>
      <c r="C171" s="12"/>
      <c r="D171" s="12"/>
      <c r="E171" s="12"/>
      <c r="F171" s="12"/>
      <c r="G171" s="10"/>
      <c r="H171" s="8"/>
      <c r="I171" s="12"/>
      <c r="J171" s="8"/>
      <c r="K171" s="8"/>
      <c r="L171" s="8"/>
      <c r="M171" s="8"/>
      <c r="N171" s="8"/>
      <c r="O171" s="8"/>
      <c r="P171" s="12"/>
      <c r="Q171" s="8"/>
      <c r="R171" s="12"/>
      <c r="T171" s="12"/>
      <c r="AH171" s="8"/>
      <c r="AI171" s="8"/>
      <c r="AJ171" s="8"/>
    </row>
    <row r="172" ht="14.25" customHeight="1">
      <c r="A172" s="44"/>
      <c r="B172" s="12"/>
      <c r="C172" s="12"/>
      <c r="D172" s="12"/>
      <c r="E172" s="12"/>
      <c r="F172" s="12"/>
      <c r="G172" s="10"/>
      <c r="H172" s="8"/>
      <c r="I172" s="12"/>
      <c r="J172" s="8"/>
      <c r="K172" s="8"/>
      <c r="L172" s="8"/>
      <c r="M172" s="8"/>
      <c r="N172" s="8"/>
      <c r="O172" s="8"/>
      <c r="P172" s="12"/>
      <c r="Q172" s="8"/>
      <c r="R172" s="12"/>
      <c r="T172" s="12"/>
      <c r="AH172" s="8"/>
      <c r="AI172" s="8"/>
      <c r="AJ172" s="8"/>
    </row>
    <row r="173" ht="14.25" customHeight="1">
      <c r="A173" s="44"/>
      <c r="B173" s="12"/>
      <c r="C173" s="12"/>
      <c r="D173" s="12"/>
      <c r="E173" s="12"/>
      <c r="F173" s="12"/>
      <c r="G173" s="10"/>
      <c r="H173" s="8"/>
      <c r="I173" s="12"/>
      <c r="J173" s="8"/>
      <c r="K173" s="8"/>
      <c r="L173" s="8"/>
      <c r="M173" s="8"/>
      <c r="N173" s="8"/>
      <c r="O173" s="8"/>
      <c r="P173" s="12"/>
      <c r="Q173" s="8"/>
      <c r="R173" s="12"/>
      <c r="T173" s="12"/>
      <c r="AH173" s="8"/>
      <c r="AI173" s="8"/>
      <c r="AJ173" s="8"/>
    </row>
    <row r="174" ht="14.25" customHeight="1">
      <c r="A174" s="44"/>
      <c r="B174" s="12"/>
      <c r="C174" s="12"/>
      <c r="D174" s="12"/>
      <c r="E174" s="12"/>
      <c r="F174" s="12"/>
      <c r="G174" s="10"/>
      <c r="H174" s="8"/>
      <c r="I174" s="12"/>
      <c r="J174" s="8"/>
      <c r="K174" s="8"/>
      <c r="L174" s="8"/>
      <c r="M174" s="8"/>
      <c r="N174" s="8"/>
      <c r="O174" s="8"/>
      <c r="P174" s="12"/>
      <c r="Q174" s="8"/>
      <c r="R174" s="12"/>
      <c r="T174" s="12"/>
      <c r="AH174" s="8"/>
      <c r="AI174" s="8"/>
      <c r="AJ174" s="8"/>
    </row>
    <row r="175" ht="14.25" customHeight="1">
      <c r="A175" s="44"/>
      <c r="B175" s="12"/>
      <c r="C175" s="12"/>
      <c r="D175" s="12"/>
      <c r="E175" s="12"/>
      <c r="F175" s="12"/>
      <c r="G175" s="10"/>
      <c r="H175" s="8"/>
      <c r="I175" s="12"/>
      <c r="J175" s="8"/>
      <c r="K175" s="8"/>
      <c r="L175" s="8"/>
      <c r="M175" s="8"/>
      <c r="N175" s="8"/>
      <c r="O175" s="8"/>
      <c r="P175" s="12"/>
      <c r="Q175" s="8"/>
      <c r="R175" s="12"/>
      <c r="T175" s="12"/>
      <c r="AH175" s="8"/>
      <c r="AI175" s="8"/>
      <c r="AJ175" s="8"/>
    </row>
    <row r="176" ht="14.25" customHeight="1">
      <c r="A176" s="44"/>
      <c r="B176" s="12"/>
      <c r="C176" s="12"/>
      <c r="D176" s="12"/>
      <c r="E176" s="12"/>
      <c r="F176" s="12"/>
      <c r="G176" s="10"/>
      <c r="H176" s="8"/>
      <c r="I176" s="12"/>
      <c r="J176" s="8"/>
      <c r="K176" s="8"/>
      <c r="L176" s="8"/>
      <c r="M176" s="8"/>
      <c r="N176" s="8"/>
      <c r="O176" s="8"/>
      <c r="P176" s="12"/>
      <c r="Q176" s="8"/>
      <c r="R176" s="12"/>
      <c r="T176" s="12"/>
      <c r="AH176" s="8"/>
      <c r="AI176" s="8"/>
      <c r="AJ176" s="8"/>
    </row>
    <row r="177" ht="14.25" customHeight="1">
      <c r="A177" s="44"/>
      <c r="B177" s="12"/>
      <c r="C177" s="12"/>
      <c r="D177" s="12"/>
      <c r="E177" s="12"/>
      <c r="F177" s="12"/>
      <c r="G177" s="10"/>
      <c r="H177" s="8"/>
      <c r="I177" s="12"/>
      <c r="J177" s="8"/>
      <c r="K177" s="8"/>
      <c r="L177" s="8"/>
      <c r="M177" s="8"/>
      <c r="N177" s="8"/>
      <c r="O177" s="8"/>
      <c r="P177" s="12"/>
      <c r="Q177" s="8"/>
      <c r="R177" s="12"/>
      <c r="T177" s="12"/>
      <c r="AH177" s="8"/>
      <c r="AI177" s="8"/>
      <c r="AJ177" s="8"/>
    </row>
    <row r="178" ht="14.25" customHeight="1">
      <c r="A178" s="44"/>
      <c r="B178" s="12"/>
      <c r="C178" s="12"/>
      <c r="D178" s="12"/>
      <c r="E178" s="12"/>
      <c r="F178" s="12"/>
      <c r="G178" s="10"/>
      <c r="H178" s="8"/>
      <c r="I178" s="12"/>
      <c r="J178" s="8"/>
      <c r="K178" s="8"/>
      <c r="L178" s="8"/>
      <c r="M178" s="8"/>
      <c r="N178" s="8"/>
      <c r="O178" s="8"/>
      <c r="P178" s="12"/>
      <c r="Q178" s="8"/>
      <c r="R178" s="12"/>
      <c r="T178" s="12"/>
      <c r="AH178" s="8"/>
      <c r="AI178" s="8"/>
      <c r="AJ178" s="8"/>
    </row>
    <row r="179" ht="14.25" customHeight="1">
      <c r="A179" s="44"/>
      <c r="B179" s="12"/>
      <c r="C179" s="12"/>
      <c r="D179" s="12"/>
      <c r="E179" s="12"/>
      <c r="F179" s="12"/>
      <c r="G179" s="10"/>
      <c r="H179" s="8"/>
      <c r="I179" s="12"/>
      <c r="J179" s="8"/>
      <c r="K179" s="8"/>
      <c r="L179" s="8"/>
      <c r="M179" s="8"/>
      <c r="N179" s="8"/>
      <c r="O179" s="8"/>
      <c r="P179" s="12"/>
      <c r="Q179" s="8"/>
      <c r="R179" s="12"/>
      <c r="T179" s="12"/>
      <c r="AH179" s="8"/>
      <c r="AI179" s="8"/>
      <c r="AJ179" s="8"/>
    </row>
    <row r="180" ht="14.25" customHeight="1">
      <c r="A180" s="44"/>
      <c r="B180" s="12"/>
      <c r="C180" s="12"/>
      <c r="D180" s="12"/>
      <c r="E180" s="12"/>
      <c r="F180" s="12"/>
      <c r="G180" s="10"/>
      <c r="H180" s="8"/>
      <c r="I180" s="12"/>
      <c r="J180" s="8"/>
      <c r="K180" s="8"/>
      <c r="L180" s="8"/>
      <c r="M180" s="8"/>
      <c r="N180" s="8"/>
      <c r="O180" s="8"/>
      <c r="P180" s="12"/>
      <c r="Q180" s="8"/>
      <c r="R180" s="12"/>
      <c r="T180" s="12"/>
      <c r="AH180" s="8"/>
      <c r="AI180" s="8"/>
      <c r="AJ180" s="8"/>
    </row>
    <row r="181" ht="14.25" customHeight="1">
      <c r="A181" s="44"/>
      <c r="B181" s="12"/>
      <c r="C181" s="12"/>
      <c r="D181" s="12"/>
      <c r="E181" s="12"/>
      <c r="F181" s="12"/>
      <c r="G181" s="10"/>
      <c r="H181" s="8"/>
      <c r="I181" s="12"/>
      <c r="J181" s="8"/>
      <c r="K181" s="8"/>
      <c r="L181" s="8"/>
      <c r="M181" s="8"/>
      <c r="N181" s="8"/>
      <c r="O181" s="8"/>
      <c r="P181" s="12"/>
      <c r="Q181" s="8"/>
      <c r="R181" s="12"/>
      <c r="T181" s="12"/>
      <c r="AH181" s="8"/>
      <c r="AI181" s="8"/>
      <c r="AJ181" s="8"/>
    </row>
    <row r="182" ht="14.25" customHeight="1">
      <c r="A182" s="44"/>
      <c r="B182" s="12"/>
      <c r="C182" s="12"/>
      <c r="D182" s="12"/>
      <c r="E182" s="12"/>
      <c r="F182" s="12"/>
      <c r="G182" s="10"/>
      <c r="H182" s="8"/>
      <c r="I182" s="12"/>
      <c r="J182" s="8"/>
      <c r="K182" s="8"/>
      <c r="L182" s="8"/>
      <c r="M182" s="8"/>
      <c r="N182" s="8"/>
      <c r="O182" s="8"/>
      <c r="P182" s="12"/>
      <c r="Q182" s="8"/>
      <c r="R182" s="12"/>
      <c r="T182" s="12"/>
      <c r="AH182" s="8"/>
      <c r="AI182" s="8"/>
      <c r="AJ182" s="8"/>
    </row>
    <row r="183" ht="14.25" customHeight="1">
      <c r="A183" s="44"/>
      <c r="B183" s="12"/>
      <c r="C183" s="12"/>
      <c r="D183" s="12"/>
      <c r="E183" s="12"/>
      <c r="F183" s="12"/>
      <c r="G183" s="10"/>
      <c r="H183" s="8"/>
      <c r="I183" s="12"/>
      <c r="J183" s="8"/>
      <c r="K183" s="8"/>
      <c r="L183" s="8"/>
      <c r="M183" s="8"/>
      <c r="N183" s="8"/>
      <c r="O183" s="8"/>
      <c r="P183" s="12"/>
      <c r="Q183" s="8"/>
      <c r="R183" s="12"/>
      <c r="T183" s="12"/>
      <c r="AH183" s="8"/>
      <c r="AI183" s="8"/>
      <c r="AJ183" s="8"/>
    </row>
    <row r="184" ht="14.25" customHeight="1">
      <c r="A184" s="44"/>
      <c r="B184" s="12"/>
      <c r="C184" s="12"/>
      <c r="D184" s="12"/>
      <c r="E184" s="12"/>
      <c r="F184" s="12"/>
      <c r="G184" s="10"/>
      <c r="H184" s="8"/>
      <c r="I184" s="12"/>
      <c r="J184" s="8"/>
      <c r="K184" s="8"/>
      <c r="L184" s="8"/>
      <c r="M184" s="8"/>
      <c r="N184" s="8"/>
      <c r="O184" s="8"/>
      <c r="P184" s="12"/>
      <c r="Q184" s="8"/>
      <c r="R184" s="12"/>
      <c r="T184" s="12"/>
      <c r="AH184" s="8"/>
      <c r="AI184" s="8"/>
      <c r="AJ184" s="8"/>
    </row>
    <row r="185" ht="14.25" customHeight="1">
      <c r="A185" s="44"/>
      <c r="B185" s="12"/>
      <c r="C185" s="12"/>
      <c r="D185" s="12"/>
      <c r="E185" s="12"/>
      <c r="F185" s="12"/>
      <c r="G185" s="10"/>
      <c r="H185" s="8"/>
      <c r="I185" s="12"/>
      <c r="J185" s="8"/>
      <c r="K185" s="8"/>
      <c r="L185" s="8"/>
      <c r="M185" s="8"/>
      <c r="N185" s="8"/>
      <c r="O185" s="8"/>
      <c r="P185" s="12"/>
      <c r="Q185" s="8"/>
      <c r="R185" s="12"/>
      <c r="T185" s="12"/>
      <c r="AH185" s="8"/>
      <c r="AI185" s="8"/>
      <c r="AJ185" s="8"/>
    </row>
    <row r="186" ht="14.25" customHeight="1">
      <c r="A186" s="44"/>
      <c r="B186" s="12"/>
      <c r="C186" s="12"/>
      <c r="D186" s="12"/>
      <c r="E186" s="12"/>
      <c r="F186" s="12"/>
      <c r="G186" s="10"/>
      <c r="H186" s="8"/>
      <c r="I186" s="12"/>
      <c r="J186" s="8"/>
      <c r="K186" s="8"/>
      <c r="L186" s="8"/>
      <c r="M186" s="8"/>
      <c r="N186" s="8"/>
      <c r="O186" s="8"/>
      <c r="P186" s="12"/>
      <c r="Q186" s="8"/>
      <c r="R186" s="12"/>
      <c r="T186" s="12"/>
      <c r="AH186" s="8"/>
      <c r="AI186" s="8"/>
      <c r="AJ186" s="8"/>
    </row>
    <row r="187" ht="14.25" customHeight="1">
      <c r="A187" s="44"/>
      <c r="B187" s="12"/>
      <c r="C187" s="12"/>
      <c r="D187" s="12"/>
      <c r="E187" s="12"/>
      <c r="F187" s="12"/>
      <c r="G187" s="10"/>
      <c r="H187" s="8"/>
      <c r="I187" s="12"/>
      <c r="J187" s="8"/>
      <c r="K187" s="8"/>
      <c r="L187" s="8"/>
      <c r="M187" s="8"/>
      <c r="N187" s="8"/>
      <c r="O187" s="8"/>
      <c r="P187" s="12"/>
      <c r="Q187" s="8"/>
      <c r="R187" s="12"/>
      <c r="T187" s="12"/>
      <c r="AH187" s="8"/>
      <c r="AI187" s="8"/>
      <c r="AJ187" s="8"/>
    </row>
    <row r="188" ht="14.25" customHeight="1">
      <c r="A188" s="44"/>
      <c r="B188" s="12"/>
      <c r="C188" s="12"/>
      <c r="D188" s="12"/>
      <c r="E188" s="12"/>
      <c r="F188" s="12"/>
      <c r="G188" s="10"/>
      <c r="H188" s="8"/>
      <c r="I188" s="12"/>
      <c r="J188" s="8"/>
      <c r="K188" s="8"/>
      <c r="L188" s="8"/>
      <c r="M188" s="8"/>
      <c r="N188" s="8"/>
      <c r="O188" s="8"/>
      <c r="P188" s="12"/>
      <c r="Q188" s="8"/>
      <c r="R188" s="12"/>
      <c r="T188" s="12"/>
      <c r="AH188" s="8"/>
      <c r="AI188" s="8"/>
      <c r="AJ188" s="8"/>
    </row>
    <row r="189" ht="14.25" customHeight="1">
      <c r="A189" s="44"/>
      <c r="B189" s="12"/>
      <c r="C189" s="12"/>
      <c r="D189" s="12"/>
      <c r="E189" s="12"/>
      <c r="F189" s="12"/>
      <c r="G189" s="10"/>
      <c r="H189" s="8"/>
      <c r="I189" s="12"/>
      <c r="J189" s="8"/>
      <c r="K189" s="8"/>
      <c r="L189" s="8"/>
      <c r="M189" s="8"/>
      <c r="N189" s="8"/>
      <c r="O189" s="8"/>
      <c r="P189" s="12"/>
      <c r="Q189" s="8"/>
      <c r="R189" s="12"/>
      <c r="T189" s="12"/>
      <c r="AH189" s="8"/>
      <c r="AI189" s="8"/>
      <c r="AJ189" s="8"/>
    </row>
    <row r="190" ht="14.25" customHeight="1">
      <c r="A190" s="44"/>
      <c r="B190" s="12"/>
      <c r="C190" s="12"/>
      <c r="D190" s="12"/>
      <c r="E190" s="12"/>
      <c r="F190" s="12"/>
      <c r="G190" s="10"/>
      <c r="H190" s="8"/>
      <c r="I190" s="12"/>
      <c r="J190" s="8"/>
      <c r="K190" s="8"/>
      <c r="L190" s="8"/>
      <c r="M190" s="8"/>
      <c r="N190" s="8"/>
      <c r="O190" s="8"/>
      <c r="P190" s="12"/>
      <c r="Q190" s="8"/>
      <c r="R190" s="12"/>
      <c r="T190" s="12"/>
      <c r="AH190" s="8"/>
      <c r="AI190" s="8"/>
      <c r="AJ190" s="8"/>
    </row>
    <row r="191" ht="14.25" customHeight="1">
      <c r="A191" s="44"/>
      <c r="B191" s="12"/>
      <c r="C191" s="12"/>
      <c r="D191" s="12"/>
      <c r="E191" s="12"/>
      <c r="F191" s="12"/>
      <c r="G191" s="10"/>
      <c r="H191" s="8"/>
      <c r="I191" s="12"/>
      <c r="J191" s="8"/>
      <c r="K191" s="8"/>
      <c r="L191" s="8"/>
      <c r="M191" s="8"/>
      <c r="N191" s="8"/>
      <c r="O191" s="8"/>
      <c r="P191" s="12"/>
      <c r="Q191" s="8"/>
      <c r="R191" s="12"/>
      <c r="T191" s="12"/>
      <c r="AH191" s="8"/>
      <c r="AI191" s="8"/>
      <c r="AJ191" s="8"/>
    </row>
    <row r="192" ht="14.25" customHeight="1">
      <c r="A192" s="44"/>
      <c r="B192" s="12"/>
      <c r="C192" s="12"/>
      <c r="D192" s="12"/>
      <c r="E192" s="12"/>
      <c r="F192" s="12"/>
      <c r="G192" s="10"/>
      <c r="H192" s="8"/>
      <c r="I192" s="12"/>
      <c r="J192" s="8"/>
      <c r="K192" s="8"/>
      <c r="L192" s="8"/>
      <c r="M192" s="8"/>
      <c r="N192" s="8"/>
      <c r="O192" s="8"/>
      <c r="P192" s="12"/>
      <c r="Q192" s="8"/>
      <c r="R192" s="12"/>
      <c r="T192" s="12"/>
      <c r="AH192" s="8"/>
      <c r="AI192" s="8"/>
      <c r="AJ192" s="8"/>
    </row>
    <row r="193" ht="14.25" customHeight="1">
      <c r="A193" s="44"/>
      <c r="B193" s="12"/>
      <c r="C193" s="12"/>
      <c r="D193" s="12"/>
      <c r="E193" s="12"/>
      <c r="F193" s="12"/>
      <c r="G193" s="10"/>
      <c r="H193" s="8"/>
      <c r="I193" s="12"/>
      <c r="J193" s="8"/>
      <c r="K193" s="8"/>
      <c r="L193" s="8"/>
      <c r="M193" s="8"/>
      <c r="N193" s="8"/>
      <c r="O193" s="8"/>
      <c r="P193" s="12"/>
      <c r="Q193" s="8"/>
      <c r="R193" s="12"/>
      <c r="T193" s="12"/>
      <c r="AH193" s="8"/>
      <c r="AI193" s="8"/>
      <c r="AJ193" s="8"/>
    </row>
    <row r="194" ht="14.25" customHeight="1">
      <c r="A194" s="44"/>
      <c r="B194" s="12"/>
      <c r="C194" s="12"/>
      <c r="D194" s="12"/>
      <c r="E194" s="12"/>
      <c r="F194" s="12"/>
      <c r="G194" s="10"/>
      <c r="H194" s="8"/>
      <c r="I194" s="12"/>
      <c r="J194" s="8"/>
      <c r="K194" s="8"/>
      <c r="L194" s="8"/>
      <c r="M194" s="8"/>
      <c r="N194" s="8"/>
      <c r="O194" s="8"/>
      <c r="P194" s="12"/>
      <c r="Q194" s="8"/>
      <c r="R194" s="12"/>
      <c r="T194" s="12"/>
      <c r="AH194" s="8"/>
      <c r="AI194" s="8"/>
      <c r="AJ194" s="8"/>
    </row>
    <row r="195" ht="14.25" customHeight="1">
      <c r="A195" s="44"/>
      <c r="B195" s="12"/>
      <c r="C195" s="12"/>
      <c r="D195" s="12"/>
      <c r="E195" s="12"/>
      <c r="F195" s="12"/>
      <c r="G195" s="10"/>
      <c r="H195" s="8"/>
      <c r="I195" s="12"/>
      <c r="J195" s="8"/>
      <c r="K195" s="8"/>
      <c r="L195" s="8"/>
      <c r="M195" s="8"/>
      <c r="N195" s="8"/>
      <c r="O195" s="8"/>
      <c r="P195" s="12"/>
      <c r="Q195" s="8"/>
      <c r="R195" s="12"/>
      <c r="T195" s="12"/>
      <c r="AH195" s="8"/>
      <c r="AI195" s="8"/>
      <c r="AJ195" s="8"/>
    </row>
    <row r="196" ht="14.25" customHeight="1">
      <c r="A196" s="44"/>
      <c r="B196" s="12"/>
      <c r="C196" s="12"/>
      <c r="D196" s="12"/>
      <c r="E196" s="12"/>
      <c r="F196" s="12"/>
      <c r="G196" s="10"/>
      <c r="H196" s="8"/>
      <c r="I196" s="12"/>
      <c r="J196" s="8"/>
      <c r="K196" s="8"/>
      <c r="L196" s="8"/>
      <c r="M196" s="8"/>
      <c r="N196" s="8"/>
      <c r="O196" s="8"/>
      <c r="P196" s="12"/>
      <c r="Q196" s="8"/>
      <c r="R196" s="12"/>
      <c r="T196" s="12"/>
      <c r="AH196" s="8"/>
      <c r="AI196" s="8"/>
      <c r="AJ196" s="8"/>
    </row>
    <row r="197" ht="14.25" customHeight="1">
      <c r="A197" s="44"/>
      <c r="B197" s="12"/>
      <c r="C197" s="12"/>
      <c r="D197" s="12"/>
      <c r="E197" s="12"/>
      <c r="F197" s="12"/>
      <c r="G197" s="10"/>
      <c r="H197" s="8"/>
      <c r="I197" s="12"/>
      <c r="J197" s="8"/>
      <c r="K197" s="8"/>
      <c r="L197" s="8"/>
      <c r="M197" s="8"/>
      <c r="N197" s="8"/>
      <c r="O197" s="8"/>
      <c r="P197" s="12"/>
      <c r="Q197" s="8"/>
      <c r="R197" s="12"/>
      <c r="T197" s="12"/>
      <c r="AH197" s="8"/>
      <c r="AI197" s="8"/>
      <c r="AJ197" s="8"/>
    </row>
    <row r="198" ht="14.25" customHeight="1">
      <c r="A198" s="44"/>
      <c r="B198" s="12"/>
      <c r="C198" s="12"/>
      <c r="D198" s="12"/>
      <c r="E198" s="12"/>
      <c r="F198" s="12"/>
      <c r="G198" s="10"/>
      <c r="H198" s="8"/>
      <c r="I198" s="12"/>
      <c r="J198" s="8"/>
      <c r="K198" s="8"/>
      <c r="L198" s="8"/>
      <c r="M198" s="8"/>
      <c r="N198" s="8"/>
      <c r="O198" s="8"/>
      <c r="P198" s="12"/>
      <c r="Q198" s="8"/>
      <c r="R198" s="12"/>
      <c r="T198" s="12"/>
      <c r="AH198" s="8"/>
      <c r="AI198" s="8"/>
      <c r="AJ198" s="8"/>
    </row>
    <row r="199" ht="14.25" customHeight="1">
      <c r="A199" s="44"/>
      <c r="B199" s="12"/>
      <c r="C199" s="12"/>
      <c r="D199" s="12"/>
      <c r="E199" s="12"/>
      <c r="F199" s="12"/>
      <c r="G199" s="10"/>
      <c r="H199" s="8"/>
      <c r="I199" s="12"/>
      <c r="J199" s="8"/>
      <c r="K199" s="8"/>
      <c r="L199" s="8"/>
      <c r="M199" s="8"/>
      <c r="N199" s="8"/>
      <c r="O199" s="8"/>
      <c r="P199" s="12"/>
      <c r="Q199" s="8"/>
      <c r="R199" s="12"/>
      <c r="T199" s="12"/>
      <c r="AH199" s="8"/>
      <c r="AI199" s="8"/>
      <c r="AJ199" s="8"/>
    </row>
    <row r="200" ht="14.25" customHeight="1">
      <c r="A200" s="44"/>
      <c r="B200" s="12"/>
      <c r="C200" s="12"/>
      <c r="D200" s="12"/>
      <c r="E200" s="12"/>
      <c r="F200" s="12"/>
      <c r="G200" s="10"/>
      <c r="H200" s="8"/>
      <c r="I200" s="12"/>
      <c r="J200" s="8"/>
      <c r="K200" s="8"/>
      <c r="L200" s="8"/>
      <c r="M200" s="8"/>
      <c r="N200" s="8"/>
      <c r="O200" s="8"/>
      <c r="P200" s="12"/>
      <c r="Q200" s="8"/>
      <c r="R200" s="12"/>
      <c r="T200" s="12"/>
      <c r="AH200" s="8"/>
      <c r="AI200" s="8"/>
      <c r="AJ200" s="8"/>
    </row>
    <row r="201" ht="14.25" customHeight="1">
      <c r="A201" s="44"/>
      <c r="B201" s="12"/>
      <c r="C201" s="12"/>
      <c r="D201" s="12"/>
      <c r="E201" s="12"/>
      <c r="F201" s="12"/>
      <c r="G201" s="10"/>
      <c r="H201" s="8"/>
      <c r="I201" s="12"/>
      <c r="J201" s="8"/>
      <c r="K201" s="8"/>
      <c r="L201" s="8"/>
      <c r="M201" s="8"/>
      <c r="N201" s="8"/>
      <c r="O201" s="8"/>
      <c r="P201" s="12"/>
      <c r="Q201" s="8"/>
      <c r="R201" s="12"/>
      <c r="T201" s="12"/>
      <c r="AH201" s="8"/>
      <c r="AI201" s="8"/>
      <c r="AJ201" s="8"/>
    </row>
    <row r="202" ht="14.25" customHeight="1">
      <c r="A202" s="44"/>
      <c r="B202" s="12"/>
      <c r="C202" s="12"/>
      <c r="D202" s="12"/>
      <c r="E202" s="12"/>
      <c r="F202" s="12"/>
      <c r="G202" s="10"/>
      <c r="H202" s="8"/>
      <c r="I202" s="12"/>
      <c r="J202" s="8"/>
      <c r="K202" s="8"/>
      <c r="L202" s="8"/>
      <c r="M202" s="8"/>
      <c r="N202" s="8"/>
      <c r="O202" s="8"/>
      <c r="P202" s="12"/>
      <c r="Q202" s="8"/>
      <c r="R202" s="12"/>
      <c r="T202" s="12"/>
      <c r="AH202" s="8"/>
      <c r="AI202" s="8"/>
      <c r="AJ202" s="8"/>
    </row>
    <row r="203" ht="14.25" customHeight="1">
      <c r="A203" s="44"/>
      <c r="B203" s="12"/>
      <c r="C203" s="12"/>
      <c r="D203" s="12"/>
      <c r="E203" s="12"/>
      <c r="F203" s="12"/>
      <c r="G203" s="10"/>
      <c r="H203" s="8"/>
      <c r="I203" s="12"/>
      <c r="J203" s="8"/>
      <c r="K203" s="8"/>
      <c r="L203" s="8"/>
      <c r="M203" s="8"/>
      <c r="N203" s="8"/>
      <c r="O203" s="8"/>
      <c r="P203" s="12"/>
      <c r="Q203" s="8"/>
      <c r="R203" s="12"/>
      <c r="T203" s="12"/>
      <c r="AH203" s="8"/>
      <c r="AI203" s="8"/>
      <c r="AJ203" s="8"/>
    </row>
    <row r="204" ht="14.25" customHeight="1">
      <c r="A204" s="44"/>
      <c r="B204" s="12"/>
      <c r="C204" s="12"/>
      <c r="D204" s="12"/>
      <c r="E204" s="12"/>
      <c r="F204" s="12"/>
      <c r="G204" s="10"/>
      <c r="H204" s="8"/>
      <c r="I204" s="12"/>
      <c r="J204" s="8"/>
      <c r="K204" s="8"/>
      <c r="L204" s="8"/>
      <c r="M204" s="8"/>
      <c r="N204" s="8"/>
      <c r="O204" s="8"/>
      <c r="P204" s="12"/>
      <c r="Q204" s="8"/>
      <c r="R204" s="12"/>
      <c r="T204" s="12"/>
      <c r="AH204" s="8"/>
      <c r="AI204" s="8"/>
      <c r="AJ204" s="8"/>
    </row>
    <row r="205" ht="14.25" customHeight="1">
      <c r="A205" s="44"/>
      <c r="B205" s="12"/>
      <c r="C205" s="12"/>
      <c r="D205" s="12"/>
      <c r="E205" s="12"/>
      <c r="F205" s="12"/>
      <c r="G205" s="10"/>
      <c r="H205" s="8"/>
      <c r="I205" s="12"/>
      <c r="J205" s="8"/>
      <c r="K205" s="8"/>
      <c r="L205" s="8"/>
      <c r="M205" s="8"/>
      <c r="N205" s="8"/>
      <c r="O205" s="8"/>
      <c r="P205" s="12"/>
      <c r="Q205" s="8"/>
      <c r="R205" s="12"/>
      <c r="T205" s="12"/>
      <c r="AH205" s="8"/>
      <c r="AI205" s="8"/>
      <c r="AJ205" s="8"/>
    </row>
    <row r="206" ht="14.25" customHeight="1">
      <c r="A206" s="44"/>
      <c r="B206" s="12"/>
      <c r="C206" s="12"/>
      <c r="D206" s="12"/>
      <c r="E206" s="12"/>
      <c r="F206" s="12"/>
      <c r="G206" s="10"/>
      <c r="H206" s="8"/>
      <c r="I206" s="12"/>
      <c r="J206" s="8"/>
      <c r="K206" s="8"/>
      <c r="L206" s="8"/>
      <c r="M206" s="8"/>
      <c r="N206" s="8"/>
      <c r="O206" s="8"/>
      <c r="P206" s="12"/>
      <c r="Q206" s="8"/>
      <c r="R206" s="12"/>
      <c r="T206" s="12"/>
      <c r="AH206" s="8"/>
      <c r="AI206" s="8"/>
      <c r="AJ206" s="8"/>
    </row>
    <row r="207" ht="14.25" customHeight="1">
      <c r="A207" s="44"/>
      <c r="B207" s="12"/>
      <c r="C207" s="12"/>
      <c r="D207" s="12"/>
      <c r="E207" s="12"/>
      <c r="F207" s="12"/>
      <c r="G207" s="10"/>
      <c r="H207" s="8"/>
      <c r="I207" s="12"/>
      <c r="J207" s="8"/>
      <c r="K207" s="8"/>
      <c r="L207" s="8"/>
      <c r="M207" s="8"/>
      <c r="N207" s="8"/>
      <c r="O207" s="8"/>
      <c r="P207" s="12"/>
      <c r="Q207" s="8"/>
      <c r="R207" s="12"/>
      <c r="T207" s="12"/>
      <c r="AH207" s="8"/>
      <c r="AI207" s="8"/>
      <c r="AJ207" s="8"/>
    </row>
    <row r="208" ht="14.25" customHeight="1">
      <c r="A208" s="44"/>
      <c r="B208" s="12"/>
      <c r="C208" s="12"/>
      <c r="D208" s="12"/>
      <c r="E208" s="12"/>
      <c r="F208" s="12"/>
      <c r="G208" s="10"/>
      <c r="H208" s="8"/>
      <c r="I208" s="12"/>
      <c r="J208" s="8"/>
      <c r="K208" s="8"/>
      <c r="L208" s="8"/>
      <c r="M208" s="8"/>
      <c r="N208" s="8"/>
      <c r="O208" s="8"/>
      <c r="P208" s="12"/>
      <c r="Q208" s="8"/>
      <c r="R208" s="12"/>
      <c r="T208" s="12"/>
      <c r="AH208" s="8"/>
      <c r="AI208" s="8"/>
      <c r="AJ208" s="8"/>
    </row>
    <row r="209" ht="14.25" customHeight="1">
      <c r="A209" s="44"/>
      <c r="B209" s="12"/>
      <c r="C209" s="12"/>
      <c r="D209" s="12"/>
      <c r="E209" s="12"/>
      <c r="F209" s="12"/>
      <c r="G209" s="10"/>
      <c r="H209" s="8"/>
      <c r="I209" s="12"/>
      <c r="J209" s="8"/>
      <c r="K209" s="8"/>
      <c r="L209" s="8"/>
      <c r="M209" s="8"/>
      <c r="N209" s="8"/>
      <c r="O209" s="8"/>
      <c r="P209" s="12"/>
      <c r="Q209" s="8"/>
      <c r="R209" s="12"/>
      <c r="T209" s="12"/>
      <c r="AH209" s="8"/>
      <c r="AI209" s="8"/>
      <c r="AJ209" s="8"/>
    </row>
    <row r="210" ht="14.25" customHeight="1">
      <c r="A210" s="44"/>
      <c r="B210" s="12"/>
      <c r="C210" s="12"/>
      <c r="D210" s="12"/>
      <c r="E210" s="12"/>
      <c r="F210" s="12"/>
      <c r="G210" s="10"/>
      <c r="H210" s="8"/>
      <c r="I210" s="12"/>
      <c r="J210" s="8"/>
      <c r="K210" s="8"/>
      <c r="L210" s="8"/>
      <c r="M210" s="8"/>
      <c r="N210" s="8"/>
      <c r="O210" s="8"/>
      <c r="P210" s="12"/>
      <c r="Q210" s="8"/>
      <c r="R210" s="12"/>
      <c r="T210" s="12"/>
      <c r="AH210" s="8"/>
      <c r="AI210" s="8"/>
      <c r="AJ210" s="8"/>
    </row>
    <row r="211" ht="14.25" customHeight="1">
      <c r="A211" s="44"/>
      <c r="B211" s="12"/>
      <c r="C211" s="12"/>
      <c r="D211" s="12"/>
      <c r="E211" s="12"/>
      <c r="F211" s="12"/>
      <c r="G211" s="10"/>
      <c r="H211" s="8"/>
      <c r="I211" s="12"/>
      <c r="J211" s="8"/>
      <c r="K211" s="8"/>
      <c r="L211" s="8"/>
      <c r="M211" s="8"/>
      <c r="N211" s="8"/>
      <c r="O211" s="8"/>
      <c r="P211" s="12"/>
      <c r="Q211" s="8"/>
      <c r="R211" s="12"/>
      <c r="T211" s="12"/>
      <c r="AH211" s="8"/>
      <c r="AI211" s="8"/>
      <c r="AJ211" s="8"/>
    </row>
    <row r="212" ht="14.25" customHeight="1">
      <c r="A212" s="44"/>
      <c r="B212" s="12"/>
      <c r="C212" s="12"/>
      <c r="D212" s="12"/>
      <c r="E212" s="12"/>
      <c r="F212" s="12"/>
      <c r="G212" s="10"/>
      <c r="H212" s="8"/>
      <c r="I212" s="12"/>
      <c r="J212" s="8"/>
      <c r="K212" s="8"/>
      <c r="L212" s="8"/>
      <c r="M212" s="8"/>
      <c r="N212" s="8"/>
      <c r="O212" s="8"/>
      <c r="P212" s="12"/>
      <c r="Q212" s="8"/>
      <c r="R212" s="12"/>
      <c r="T212" s="12"/>
      <c r="AH212" s="8"/>
      <c r="AI212" s="8"/>
      <c r="AJ212" s="8"/>
    </row>
    <row r="213" ht="14.25" customHeight="1">
      <c r="A213" s="44"/>
      <c r="B213" s="12"/>
      <c r="C213" s="12"/>
      <c r="D213" s="12"/>
      <c r="E213" s="12"/>
      <c r="F213" s="12"/>
      <c r="G213" s="10"/>
      <c r="H213" s="8"/>
      <c r="I213" s="12"/>
      <c r="J213" s="8"/>
      <c r="K213" s="8"/>
      <c r="L213" s="8"/>
      <c r="M213" s="8"/>
      <c r="N213" s="8"/>
      <c r="O213" s="8"/>
      <c r="P213" s="12"/>
      <c r="Q213" s="8"/>
      <c r="R213" s="12"/>
      <c r="T213" s="12"/>
      <c r="AH213" s="8"/>
      <c r="AI213" s="8"/>
      <c r="AJ213" s="8"/>
    </row>
    <row r="214" ht="14.25" customHeight="1">
      <c r="A214" s="44"/>
      <c r="B214" s="12"/>
      <c r="C214" s="12"/>
      <c r="D214" s="12"/>
      <c r="E214" s="12"/>
      <c r="F214" s="12"/>
      <c r="G214" s="10"/>
      <c r="H214" s="8"/>
      <c r="I214" s="12"/>
      <c r="J214" s="8"/>
      <c r="K214" s="8"/>
      <c r="L214" s="8"/>
      <c r="M214" s="8"/>
      <c r="N214" s="8"/>
      <c r="O214" s="8"/>
      <c r="P214" s="12"/>
      <c r="Q214" s="8"/>
      <c r="R214" s="12"/>
      <c r="T214" s="12"/>
      <c r="AH214" s="8"/>
      <c r="AI214" s="8"/>
      <c r="AJ214" s="8"/>
    </row>
    <row r="215" ht="14.25" customHeight="1">
      <c r="A215" s="44"/>
      <c r="B215" s="12"/>
      <c r="C215" s="12"/>
      <c r="D215" s="12"/>
      <c r="E215" s="12"/>
      <c r="F215" s="12"/>
      <c r="G215" s="10"/>
      <c r="H215" s="8"/>
      <c r="I215" s="12"/>
      <c r="J215" s="8"/>
      <c r="K215" s="8"/>
      <c r="L215" s="8"/>
      <c r="M215" s="8"/>
      <c r="N215" s="8"/>
      <c r="O215" s="8"/>
      <c r="P215" s="12"/>
      <c r="Q215" s="8"/>
      <c r="R215" s="12"/>
      <c r="T215" s="12"/>
      <c r="AH215" s="8"/>
      <c r="AI215" s="8"/>
      <c r="AJ215" s="8"/>
    </row>
    <row r="216" ht="14.25" customHeight="1">
      <c r="A216" s="44"/>
      <c r="B216" s="12"/>
      <c r="C216" s="12"/>
      <c r="D216" s="12"/>
      <c r="E216" s="12"/>
      <c r="F216" s="12"/>
      <c r="G216" s="10"/>
      <c r="H216" s="8"/>
      <c r="I216" s="12"/>
      <c r="J216" s="8"/>
      <c r="K216" s="8"/>
      <c r="L216" s="8"/>
      <c r="M216" s="8"/>
      <c r="N216" s="8"/>
      <c r="O216" s="8"/>
      <c r="P216" s="12"/>
      <c r="Q216" s="8"/>
      <c r="R216" s="12"/>
      <c r="T216" s="12"/>
      <c r="AH216" s="8"/>
      <c r="AI216" s="8"/>
      <c r="AJ216" s="8"/>
    </row>
    <row r="217" ht="14.25" customHeight="1">
      <c r="A217" s="44"/>
      <c r="B217" s="12"/>
      <c r="C217" s="12"/>
      <c r="D217" s="12"/>
      <c r="E217" s="12"/>
      <c r="F217" s="12"/>
      <c r="G217" s="10"/>
      <c r="H217" s="8"/>
      <c r="I217" s="12"/>
      <c r="J217" s="8"/>
      <c r="K217" s="8"/>
      <c r="L217" s="8"/>
      <c r="M217" s="8"/>
      <c r="N217" s="8"/>
      <c r="O217" s="8"/>
      <c r="P217" s="12"/>
      <c r="Q217" s="8"/>
      <c r="R217" s="12"/>
      <c r="T217" s="12"/>
      <c r="AH217" s="8"/>
      <c r="AI217" s="8"/>
      <c r="AJ217" s="8"/>
    </row>
    <row r="218" ht="14.25" customHeight="1">
      <c r="A218" s="44"/>
      <c r="B218" s="12"/>
      <c r="C218" s="12"/>
      <c r="D218" s="12"/>
      <c r="E218" s="12"/>
      <c r="F218" s="12"/>
      <c r="G218" s="10"/>
      <c r="H218" s="8"/>
      <c r="I218" s="12"/>
      <c r="J218" s="8"/>
      <c r="K218" s="8"/>
      <c r="L218" s="8"/>
      <c r="M218" s="8"/>
      <c r="N218" s="8"/>
      <c r="O218" s="8"/>
      <c r="P218" s="12"/>
      <c r="Q218" s="8"/>
      <c r="R218" s="12"/>
      <c r="T218" s="12"/>
      <c r="AH218" s="8"/>
      <c r="AI218" s="8"/>
      <c r="AJ218" s="8"/>
    </row>
    <row r="219" ht="14.25" customHeight="1">
      <c r="A219" s="44"/>
      <c r="B219" s="12"/>
      <c r="C219" s="12"/>
      <c r="D219" s="12"/>
      <c r="E219" s="12"/>
      <c r="F219" s="12"/>
      <c r="G219" s="10"/>
      <c r="H219" s="8"/>
      <c r="I219" s="12"/>
      <c r="J219" s="8"/>
      <c r="K219" s="8"/>
      <c r="L219" s="8"/>
      <c r="M219" s="8"/>
      <c r="N219" s="8"/>
      <c r="O219" s="8"/>
      <c r="P219" s="12"/>
      <c r="Q219" s="8"/>
      <c r="R219" s="12"/>
      <c r="T219" s="12"/>
      <c r="AH219" s="8"/>
      <c r="AI219" s="8"/>
      <c r="AJ219" s="8"/>
    </row>
    <row r="220" ht="14.25" customHeight="1">
      <c r="A220" s="44"/>
      <c r="B220" s="12"/>
      <c r="C220" s="12"/>
      <c r="D220" s="12"/>
      <c r="E220" s="12"/>
      <c r="F220" s="12"/>
      <c r="G220" s="10"/>
      <c r="H220" s="8"/>
      <c r="I220" s="12"/>
      <c r="J220" s="8"/>
      <c r="K220" s="8"/>
      <c r="L220" s="8"/>
      <c r="M220" s="8"/>
      <c r="N220" s="8"/>
      <c r="O220" s="8"/>
      <c r="P220" s="12"/>
      <c r="Q220" s="8"/>
      <c r="R220" s="12"/>
      <c r="T220" s="12"/>
      <c r="AH220" s="8"/>
      <c r="AI220" s="8"/>
      <c r="AJ220" s="8"/>
    </row>
    <row r="221" ht="14.25" customHeight="1">
      <c r="A221" s="44"/>
      <c r="B221" s="12"/>
      <c r="C221" s="12"/>
      <c r="D221" s="12"/>
      <c r="E221" s="12"/>
      <c r="F221" s="12"/>
      <c r="G221" s="10"/>
      <c r="H221" s="8"/>
      <c r="I221" s="12"/>
      <c r="J221" s="8"/>
      <c r="K221" s="8"/>
      <c r="L221" s="8"/>
      <c r="M221" s="8"/>
      <c r="N221" s="8"/>
      <c r="O221" s="8"/>
      <c r="P221" s="12"/>
      <c r="Q221" s="8"/>
      <c r="R221" s="12"/>
      <c r="T221" s="12"/>
      <c r="AH221" s="8"/>
      <c r="AI221" s="8"/>
      <c r="AJ221" s="8"/>
    </row>
    <row r="222" ht="14.25" customHeight="1">
      <c r="A222" s="44"/>
      <c r="B222" s="12"/>
      <c r="C222" s="12"/>
      <c r="D222" s="12"/>
      <c r="E222" s="12"/>
      <c r="F222" s="12"/>
      <c r="G222" s="10"/>
      <c r="H222" s="8"/>
      <c r="I222" s="12"/>
      <c r="J222" s="8"/>
      <c r="K222" s="8"/>
      <c r="L222" s="8"/>
      <c r="M222" s="8"/>
      <c r="N222" s="8"/>
      <c r="O222" s="8"/>
      <c r="P222" s="12"/>
      <c r="Q222" s="8"/>
      <c r="R222" s="12"/>
      <c r="T222" s="12"/>
      <c r="AH222" s="8"/>
      <c r="AI222" s="8"/>
      <c r="AJ222" s="8"/>
    </row>
    <row r="223" ht="14.25" customHeight="1">
      <c r="A223" s="44"/>
      <c r="B223" s="12"/>
      <c r="C223" s="12"/>
      <c r="D223" s="12"/>
      <c r="E223" s="12"/>
      <c r="F223" s="12"/>
      <c r="G223" s="10"/>
      <c r="H223" s="8"/>
      <c r="I223" s="12"/>
      <c r="J223" s="8"/>
      <c r="K223" s="8"/>
      <c r="L223" s="8"/>
      <c r="M223" s="8"/>
      <c r="N223" s="8"/>
      <c r="O223" s="8"/>
      <c r="P223" s="12"/>
      <c r="Q223" s="8"/>
      <c r="R223" s="12"/>
      <c r="T223" s="12"/>
      <c r="AH223" s="8"/>
      <c r="AI223" s="8"/>
      <c r="AJ223" s="8"/>
    </row>
    <row r="224" ht="14.25" customHeight="1">
      <c r="A224" s="44"/>
      <c r="B224" s="12"/>
      <c r="C224" s="12"/>
      <c r="D224" s="12"/>
      <c r="E224" s="12"/>
      <c r="F224" s="12"/>
      <c r="G224" s="10"/>
      <c r="H224" s="8"/>
      <c r="I224" s="12"/>
      <c r="J224" s="8"/>
      <c r="K224" s="8"/>
      <c r="L224" s="8"/>
      <c r="M224" s="8"/>
      <c r="N224" s="8"/>
      <c r="O224" s="8"/>
      <c r="P224" s="12"/>
      <c r="Q224" s="8"/>
      <c r="R224" s="12"/>
      <c r="T224" s="12"/>
      <c r="AH224" s="8"/>
      <c r="AI224" s="8"/>
      <c r="AJ224" s="8"/>
    </row>
    <row r="225" ht="14.25" customHeight="1">
      <c r="A225" s="44"/>
      <c r="B225" s="12"/>
      <c r="C225" s="12"/>
      <c r="D225" s="12"/>
      <c r="E225" s="12"/>
      <c r="F225" s="12"/>
      <c r="G225" s="10"/>
      <c r="H225" s="8"/>
      <c r="I225" s="12"/>
      <c r="J225" s="8"/>
      <c r="K225" s="8"/>
      <c r="L225" s="8"/>
      <c r="M225" s="8"/>
      <c r="N225" s="8"/>
      <c r="O225" s="8"/>
      <c r="P225" s="12"/>
      <c r="Q225" s="8"/>
      <c r="R225" s="12"/>
      <c r="T225" s="12"/>
      <c r="AH225" s="8"/>
      <c r="AI225" s="8"/>
      <c r="AJ225" s="8"/>
    </row>
    <row r="226" ht="14.25" customHeight="1">
      <c r="A226" s="44"/>
      <c r="B226" s="12"/>
      <c r="C226" s="12"/>
      <c r="D226" s="12"/>
      <c r="E226" s="12"/>
      <c r="F226" s="12"/>
      <c r="G226" s="10"/>
      <c r="H226" s="8"/>
      <c r="I226" s="12"/>
      <c r="J226" s="8"/>
      <c r="K226" s="8"/>
      <c r="L226" s="8"/>
      <c r="M226" s="8"/>
      <c r="N226" s="8"/>
      <c r="O226" s="8"/>
      <c r="P226" s="12"/>
      <c r="Q226" s="8"/>
      <c r="R226" s="12"/>
      <c r="T226" s="12"/>
      <c r="AH226" s="8"/>
      <c r="AI226" s="8"/>
      <c r="AJ226" s="8"/>
    </row>
    <row r="227" ht="14.25" customHeight="1">
      <c r="A227" s="44"/>
      <c r="B227" s="12"/>
      <c r="C227" s="12"/>
      <c r="D227" s="12"/>
      <c r="E227" s="12"/>
      <c r="F227" s="12"/>
      <c r="G227" s="10"/>
      <c r="H227" s="8"/>
      <c r="I227" s="12"/>
      <c r="J227" s="8"/>
      <c r="K227" s="8"/>
      <c r="L227" s="8"/>
      <c r="M227" s="8"/>
      <c r="N227" s="8"/>
      <c r="O227" s="8"/>
      <c r="P227" s="12"/>
      <c r="Q227" s="8"/>
      <c r="R227" s="12"/>
      <c r="T227" s="12"/>
      <c r="AH227" s="8"/>
      <c r="AI227" s="8"/>
      <c r="AJ227" s="8"/>
    </row>
    <row r="228" ht="14.25" customHeight="1">
      <c r="A228" s="44"/>
      <c r="B228" s="12"/>
      <c r="C228" s="12"/>
      <c r="D228" s="12"/>
      <c r="E228" s="12"/>
      <c r="F228" s="12"/>
      <c r="G228" s="10"/>
      <c r="H228" s="8"/>
      <c r="I228" s="12"/>
      <c r="J228" s="8"/>
      <c r="K228" s="8"/>
      <c r="L228" s="8"/>
      <c r="M228" s="8"/>
      <c r="N228" s="8"/>
      <c r="O228" s="8"/>
      <c r="P228" s="12"/>
      <c r="Q228" s="8"/>
      <c r="R228" s="12"/>
      <c r="T228" s="12"/>
      <c r="AH228" s="8"/>
      <c r="AI228" s="8"/>
      <c r="AJ228" s="8"/>
    </row>
    <row r="229" ht="14.25" customHeight="1">
      <c r="A229" s="44"/>
      <c r="B229" s="12"/>
      <c r="C229" s="12"/>
      <c r="D229" s="12"/>
      <c r="E229" s="12"/>
      <c r="F229" s="12"/>
      <c r="G229" s="10"/>
      <c r="H229" s="8"/>
      <c r="I229" s="12"/>
      <c r="J229" s="8"/>
      <c r="K229" s="8"/>
      <c r="L229" s="8"/>
      <c r="M229" s="8"/>
      <c r="N229" s="8"/>
      <c r="O229" s="8"/>
      <c r="P229" s="12"/>
      <c r="Q229" s="8"/>
      <c r="R229" s="12"/>
      <c r="T229" s="12"/>
      <c r="AH229" s="8"/>
      <c r="AI229" s="8"/>
      <c r="AJ229" s="8"/>
    </row>
    <row r="230" ht="14.25" customHeight="1">
      <c r="A230" s="44"/>
      <c r="B230" s="12"/>
      <c r="C230" s="12"/>
      <c r="D230" s="12"/>
      <c r="E230" s="12"/>
      <c r="F230" s="12"/>
      <c r="G230" s="10"/>
      <c r="H230" s="8"/>
      <c r="I230" s="12"/>
      <c r="J230" s="8"/>
      <c r="K230" s="8"/>
      <c r="L230" s="8"/>
      <c r="M230" s="8"/>
      <c r="N230" s="8"/>
      <c r="O230" s="8"/>
      <c r="P230" s="12"/>
      <c r="Q230" s="8"/>
      <c r="R230" s="12"/>
      <c r="T230" s="12"/>
      <c r="AH230" s="8"/>
      <c r="AI230" s="8"/>
      <c r="AJ230" s="8"/>
    </row>
    <row r="231" ht="14.25" customHeight="1">
      <c r="A231" s="44"/>
      <c r="B231" s="12"/>
      <c r="C231" s="12"/>
      <c r="D231" s="12"/>
      <c r="E231" s="12"/>
      <c r="F231" s="12"/>
      <c r="G231" s="10"/>
      <c r="H231" s="8"/>
      <c r="I231" s="12"/>
      <c r="J231" s="8"/>
      <c r="K231" s="8"/>
      <c r="L231" s="8"/>
      <c r="M231" s="8"/>
      <c r="N231" s="8"/>
      <c r="O231" s="8"/>
      <c r="P231" s="12"/>
      <c r="Q231" s="8"/>
      <c r="R231" s="12"/>
      <c r="T231" s="12"/>
      <c r="AH231" s="8"/>
      <c r="AI231" s="8"/>
      <c r="AJ231" s="8"/>
    </row>
    <row r="232" ht="14.25" customHeight="1">
      <c r="A232" s="44"/>
      <c r="B232" s="12"/>
      <c r="C232" s="12"/>
      <c r="D232" s="12"/>
      <c r="E232" s="12"/>
      <c r="F232" s="12"/>
      <c r="G232" s="10"/>
      <c r="H232" s="8"/>
      <c r="I232" s="12"/>
      <c r="J232" s="8"/>
      <c r="K232" s="8"/>
      <c r="L232" s="8"/>
      <c r="M232" s="8"/>
      <c r="N232" s="8"/>
      <c r="O232" s="8"/>
      <c r="P232" s="12"/>
      <c r="Q232" s="8"/>
      <c r="R232" s="12"/>
      <c r="T232" s="12"/>
      <c r="AH232" s="8"/>
      <c r="AI232" s="8"/>
      <c r="AJ232" s="8"/>
    </row>
    <row r="233" ht="14.25" customHeight="1">
      <c r="A233" s="44"/>
      <c r="B233" s="12"/>
      <c r="C233" s="12"/>
      <c r="D233" s="12"/>
      <c r="E233" s="12"/>
      <c r="F233" s="12"/>
      <c r="G233" s="10"/>
      <c r="H233" s="8"/>
      <c r="I233" s="12"/>
      <c r="J233" s="8"/>
      <c r="K233" s="8"/>
      <c r="L233" s="8"/>
      <c r="M233" s="8"/>
      <c r="N233" s="8"/>
      <c r="O233" s="8"/>
      <c r="P233" s="12"/>
      <c r="Q233" s="8"/>
      <c r="R233" s="12"/>
      <c r="T233" s="12"/>
      <c r="AH233" s="8"/>
      <c r="AI233" s="8"/>
      <c r="AJ233" s="8"/>
    </row>
    <row r="234" ht="14.25" customHeight="1">
      <c r="A234" s="44"/>
      <c r="B234" s="12"/>
      <c r="C234" s="12"/>
      <c r="D234" s="12"/>
      <c r="E234" s="12"/>
      <c r="F234" s="12"/>
      <c r="G234" s="10"/>
      <c r="H234" s="8"/>
      <c r="I234" s="12"/>
      <c r="J234" s="8"/>
      <c r="K234" s="8"/>
      <c r="L234" s="8"/>
      <c r="M234" s="8"/>
      <c r="N234" s="8"/>
      <c r="O234" s="8"/>
      <c r="P234" s="12"/>
      <c r="Q234" s="8"/>
      <c r="R234" s="12"/>
      <c r="T234" s="12"/>
      <c r="AH234" s="8"/>
      <c r="AI234" s="8"/>
      <c r="AJ234" s="8"/>
    </row>
    <row r="235" ht="14.25" customHeight="1">
      <c r="A235" s="44"/>
      <c r="B235" s="12"/>
      <c r="C235" s="12"/>
      <c r="D235" s="12"/>
      <c r="E235" s="12"/>
      <c r="F235" s="12"/>
      <c r="G235" s="10"/>
      <c r="H235" s="8"/>
      <c r="I235" s="12"/>
      <c r="J235" s="8"/>
      <c r="K235" s="8"/>
      <c r="L235" s="8"/>
      <c r="M235" s="8"/>
      <c r="N235" s="8"/>
      <c r="O235" s="8"/>
      <c r="P235" s="12"/>
      <c r="Q235" s="8"/>
      <c r="R235" s="12"/>
      <c r="T235" s="12"/>
      <c r="AH235" s="8"/>
      <c r="AI235" s="8"/>
      <c r="AJ235" s="8"/>
    </row>
    <row r="236" ht="14.25" customHeight="1">
      <c r="A236" s="44"/>
      <c r="B236" s="12"/>
      <c r="C236" s="12"/>
      <c r="D236" s="12"/>
      <c r="E236" s="12"/>
      <c r="F236" s="12"/>
      <c r="G236" s="10"/>
      <c r="H236" s="8"/>
      <c r="I236" s="12"/>
      <c r="J236" s="8"/>
      <c r="K236" s="8"/>
      <c r="L236" s="8"/>
      <c r="M236" s="8"/>
      <c r="N236" s="8"/>
      <c r="O236" s="8"/>
      <c r="P236" s="12"/>
      <c r="Q236" s="8"/>
      <c r="R236" s="12"/>
      <c r="T236" s="12"/>
      <c r="AH236" s="8"/>
      <c r="AI236" s="8"/>
      <c r="AJ236" s="8"/>
    </row>
    <row r="237" ht="14.25" customHeight="1">
      <c r="A237" s="44"/>
      <c r="B237" s="12"/>
      <c r="C237" s="12"/>
      <c r="D237" s="12"/>
      <c r="E237" s="12"/>
      <c r="F237" s="12"/>
      <c r="G237" s="10"/>
      <c r="H237" s="8"/>
      <c r="I237" s="12"/>
      <c r="J237" s="8"/>
      <c r="K237" s="8"/>
      <c r="L237" s="8"/>
      <c r="M237" s="8"/>
      <c r="N237" s="8"/>
      <c r="O237" s="8"/>
      <c r="P237" s="12"/>
      <c r="Q237" s="8"/>
      <c r="R237" s="12"/>
      <c r="T237" s="12"/>
      <c r="AH237" s="8"/>
      <c r="AI237" s="8"/>
      <c r="AJ237" s="8"/>
    </row>
    <row r="238" ht="14.25" customHeight="1">
      <c r="A238" s="44"/>
      <c r="B238" s="12"/>
      <c r="C238" s="12"/>
      <c r="D238" s="12"/>
      <c r="E238" s="12"/>
      <c r="F238" s="12"/>
      <c r="G238" s="10"/>
      <c r="H238" s="8"/>
      <c r="I238" s="12"/>
      <c r="J238" s="8"/>
      <c r="K238" s="8"/>
      <c r="L238" s="8"/>
      <c r="M238" s="8"/>
      <c r="N238" s="8"/>
      <c r="O238" s="8"/>
      <c r="P238" s="12"/>
      <c r="Q238" s="8"/>
      <c r="R238" s="12"/>
      <c r="T238" s="12"/>
      <c r="AH238" s="8"/>
      <c r="AI238" s="8"/>
      <c r="AJ238" s="8"/>
    </row>
    <row r="239" ht="14.25" customHeight="1">
      <c r="A239" s="44"/>
      <c r="B239" s="12"/>
      <c r="C239" s="12"/>
      <c r="D239" s="12"/>
      <c r="E239" s="12"/>
      <c r="F239" s="12"/>
      <c r="G239" s="10"/>
      <c r="H239" s="8"/>
      <c r="I239" s="12"/>
      <c r="J239" s="8"/>
      <c r="K239" s="8"/>
      <c r="L239" s="8"/>
      <c r="M239" s="8"/>
      <c r="N239" s="8"/>
      <c r="O239" s="8"/>
      <c r="P239" s="12"/>
      <c r="Q239" s="8"/>
      <c r="R239" s="12"/>
      <c r="T239" s="12"/>
      <c r="AH239" s="8"/>
      <c r="AI239" s="8"/>
      <c r="AJ239" s="8"/>
    </row>
    <row r="240" ht="14.25" customHeight="1">
      <c r="A240" s="44"/>
      <c r="B240" s="12"/>
      <c r="C240" s="12"/>
      <c r="D240" s="12"/>
      <c r="E240" s="12"/>
      <c r="F240" s="12"/>
      <c r="G240" s="10"/>
      <c r="H240" s="8"/>
      <c r="I240" s="12"/>
      <c r="J240" s="8"/>
      <c r="K240" s="8"/>
      <c r="L240" s="8"/>
      <c r="M240" s="8"/>
      <c r="N240" s="8"/>
      <c r="O240" s="8"/>
      <c r="P240" s="12"/>
      <c r="Q240" s="8"/>
      <c r="R240" s="12"/>
      <c r="T240" s="12"/>
      <c r="AH240" s="8"/>
      <c r="AI240" s="8"/>
      <c r="AJ240" s="8"/>
    </row>
    <row r="241" ht="14.25" customHeight="1">
      <c r="A241" s="44"/>
      <c r="B241" s="12"/>
      <c r="C241" s="12"/>
      <c r="D241" s="12"/>
      <c r="E241" s="12"/>
      <c r="F241" s="12"/>
      <c r="G241" s="10"/>
      <c r="H241" s="8"/>
      <c r="I241" s="12"/>
      <c r="J241" s="8"/>
      <c r="K241" s="8"/>
      <c r="L241" s="8"/>
      <c r="M241" s="8"/>
      <c r="N241" s="8"/>
      <c r="O241" s="8"/>
      <c r="P241" s="12"/>
      <c r="Q241" s="8"/>
      <c r="R241" s="12"/>
      <c r="T241" s="12"/>
      <c r="AH241" s="8"/>
      <c r="AI241" s="8"/>
      <c r="AJ241" s="8"/>
    </row>
    <row r="242" ht="14.25" customHeight="1">
      <c r="A242" s="44"/>
      <c r="B242" s="12"/>
      <c r="C242" s="12"/>
      <c r="D242" s="12"/>
      <c r="E242" s="12"/>
      <c r="F242" s="12"/>
      <c r="G242" s="10"/>
      <c r="H242" s="8"/>
      <c r="I242" s="12"/>
      <c r="J242" s="8"/>
      <c r="K242" s="8"/>
      <c r="L242" s="8"/>
      <c r="M242" s="8"/>
      <c r="N242" s="8"/>
      <c r="O242" s="8"/>
      <c r="P242" s="12"/>
      <c r="Q242" s="8"/>
      <c r="R242" s="12"/>
      <c r="T242" s="12"/>
      <c r="AH242" s="8"/>
      <c r="AI242" s="8"/>
      <c r="AJ242" s="8"/>
    </row>
    <row r="243" ht="14.25" customHeight="1">
      <c r="A243" s="44"/>
      <c r="B243" s="12"/>
      <c r="C243" s="12"/>
      <c r="D243" s="12"/>
      <c r="E243" s="12"/>
      <c r="F243" s="12"/>
      <c r="G243" s="10"/>
      <c r="H243" s="8"/>
      <c r="I243" s="12"/>
      <c r="J243" s="8"/>
      <c r="K243" s="8"/>
      <c r="L243" s="8"/>
      <c r="M243" s="8"/>
      <c r="N243" s="8"/>
      <c r="O243" s="8"/>
      <c r="P243" s="12"/>
      <c r="Q243" s="8"/>
      <c r="R243" s="12"/>
      <c r="T243" s="12"/>
      <c r="AH243" s="8"/>
      <c r="AI243" s="8"/>
      <c r="AJ243" s="8"/>
    </row>
    <row r="244" ht="14.25" customHeight="1">
      <c r="A244" s="44"/>
      <c r="B244" s="12"/>
      <c r="C244" s="12"/>
      <c r="D244" s="12"/>
      <c r="E244" s="12"/>
      <c r="F244" s="12"/>
      <c r="G244" s="10"/>
      <c r="H244" s="8"/>
      <c r="I244" s="12"/>
      <c r="J244" s="8"/>
      <c r="K244" s="8"/>
      <c r="L244" s="8"/>
      <c r="M244" s="8"/>
      <c r="N244" s="8"/>
      <c r="O244" s="8"/>
      <c r="P244" s="12"/>
      <c r="Q244" s="8"/>
      <c r="R244" s="12"/>
      <c r="T244" s="12"/>
      <c r="AH244" s="8"/>
      <c r="AI244" s="8"/>
      <c r="AJ244" s="8"/>
    </row>
    <row r="245" ht="14.25" customHeight="1">
      <c r="A245" s="44"/>
      <c r="B245" s="12"/>
      <c r="C245" s="12"/>
      <c r="D245" s="12"/>
      <c r="E245" s="12"/>
      <c r="F245" s="12"/>
      <c r="G245" s="10"/>
      <c r="H245" s="8"/>
      <c r="I245" s="12"/>
      <c r="J245" s="8"/>
      <c r="K245" s="8"/>
      <c r="L245" s="8"/>
      <c r="M245" s="8"/>
      <c r="N245" s="8"/>
      <c r="O245" s="8"/>
      <c r="P245" s="12"/>
      <c r="Q245" s="8"/>
      <c r="R245" s="12"/>
      <c r="T245" s="12"/>
      <c r="AH245" s="8"/>
      <c r="AI245" s="8"/>
      <c r="AJ245" s="8"/>
    </row>
    <row r="246" ht="14.25" customHeight="1">
      <c r="A246" s="44"/>
      <c r="B246" s="12"/>
      <c r="C246" s="12"/>
      <c r="D246" s="12"/>
      <c r="E246" s="12"/>
      <c r="F246" s="12"/>
      <c r="G246" s="10"/>
      <c r="H246" s="8"/>
      <c r="I246" s="12"/>
      <c r="J246" s="8"/>
      <c r="K246" s="8"/>
      <c r="L246" s="8"/>
      <c r="M246" s="8"/>
      <c r="N246" s="8"/>
      <c r="O246" s="8"/>
      <c r="P246" s="12"/>
      <c r="Q246" s="8"/>
      <c r="R246" s="12"/>
      <c r="T246" s="12"/>
      <c r="AH246" s="8"/>
      <c r="AI246" s="8"/>
      <c r="AJ246" s="8"/>
    </row>
    <row r="247" ht="14.25" customHeight="1">
      <c r="A247" s="44"/>
      <c r="B247" s="12"/>
      <c r="C247" s="12"/>
      <c r="D247" s="12"/>
      <c r="E247" s="12"/>
      <c r="F247" s="12"/>
      <c r="G247" s="10"/>
      <c r="H247" s="8"/>
      <c r="I247" s="12"/>
      <c r="J247" s="8"/>
      <c r="K247" s="8"/>
      <c r="L247" s="8"/>
      <c r="M247" s="8"/>
      <c r="N247" s="8"/>
      <c r="O247" s="8"/>
      <c r="P247" s="12"/>
      <c r="Q247" s="8"/>
      <c r="R247" s="12"/>
      <c r="T247" s="12"/>
      <c r="AH247" s="8"/>
      <c r="AI247" s="8"/>
      <c r="AJ247" s="8"/>
    </row>
    <row r="248" ht="14.25" customHeight="1">
      <c r="A248" s="44"/>
      <c r="B248" s="12"/>
      <c r="C248" s="12"/>
      <c r="D248" s="12"/>
      <c r="E248" s="12"/>
      <c r="F248" s="12"/>
      <c r="G248" s="10"/>
      <c r="H248" s="8"/>
      <c r="I248" s="12"/>
      <c r="J248" s="8"/>
      <c r="K248" s="8"/>
      <c r="L248" s="8"/>
      <c r="M248" s="8"/>
      <c r="N248" s="8"/>
      <c r="O248" s="8"/>
      <c r="P248" s="12"/>
      <c r="Q248" s="8"/>
      <c r="R248" s="12"/>
      <c r="T248" s="12"/>
      <c r="AH248" s="8"/>
      <c r="AI248" s="8"/>
      <c r="AJ248" s="8"/>
    </row>
    <row r="249" ht="14.25" customHeight="1">
      <c r="A249" s="44"/>
      <c r="B249" s="12"/>
      <c r="C249" s="12"/>
      <c r="D249" s="12"/>
      <c r="E249" s="12"/>
      <c r="F249" s="12"/>
      <c r="G249" s="10"/>
      <c r="H249" s="8"/>
      <c r="I249" s="12"/>
      <c r="J249" s="8"/>
      <c r="K249" s="8"/>
      <c r="L249" s="8"/>
      <c r="M249" s="8"/>
      <c r="N249" s="8"/>
      <c r="O249" s="8"/>
      <c r="P249" s="12"/>
      <c r="Q249" s="8"/>
      <c r="R249" s="12"/>
      <c r="T249" s="12"/>
      <c r="AH249" s="8"/>
      <c r="AI249" s="8"/>
      <c r="AJ249" s="8"/>
    </row>
    <row r="250" ht="14.25" customHeight="1">
      <c r="A250" s="44"/>
      <c r="B250" s="12"/>
      <c r="C250" s="12"/>
      <c r="D250" s="12"/>
      <c r="E250" s="12"/>
      <c r="F250" s="12"/>
      <c r="G250" s="10"/>
      <c r="H250" s="8"/>
      <c r="I250" s="12"/>
      <c r="J250" s="8"/>
      <c r="K250" s="8"/>
      <c r="L250" s="8"/>
      <c r="M250" s="8"/>
      <c r="N250" s="8"/>
      <c r="O250" s="8"/>
      <c r="P250" s="12"/>
      <c r="Q250" s="8"/>
      <c r="R250" s="12"/>
      <c r="T250" s="12"/>
      <c r="AH250" s="8"/>
      <c r="AI250" s="8"/>
      <c r="AJ250" s="8"/>
    </row>
    <row r="251" ht="14.25" customHeight="1">
      <c r="A251" s="44"/>
      <c r="B251" s="12"/>
      <c r="C251" s="12"/>
      <c r="D251" s="12"/>
      <c r="E251" s="12"/>
      <c r="F251" s="12"/>
      <c r="G251" s="10"/>
      <c r="H251" s="8"/>
      <c r="I251" s="12"/>
      <c r="J251" s="8"/>
      <c r="K251" s="8"/>
      <c r="L251" s="8"/>
      <c r="M251" s="8"/>
      <c r="N251" s="8"/>
      <c r="O251" s="8"/>
      <c r="P251" s="12"/>
      <c r="Q251" s="8"/>
      <c r="R251" s="12"/>
      <c r="T251" s="12"/>
      <c r="AH251" s="8"/>
      <c r="AI251" s="8"/>
      <c r="AJ251" s="8"/>
    </row>
    <row r="252" ht="14.25" customHeight="1">
      <c r="A252" s="44"/>
      <c r="B252" s="12"/>
      <c r="C252" s="12"/>
      <c r="D252" s="12"/>
      <c r="E252" s="12"/>
      <c r="F252" s="12"/>
      <c r="G252" s="10"/>
      <c r="H252" s="8"/>
      <c r="I252" s="12"/>
      <c r="J252" s="8"/>
      <c r="K252" s="8"/>
      <c r="L252" s="8"/>
      <c r="M252" s="8"/>
      <c r="N252" s="8"/>
      <c r="O252" s="8"/>
      <c r="P252" s="12"/>
      <c r="Q252" s="8"/>
      <c r="R252" s="12"/>
      <c r="T252" s="12"/>
      <c r="AH252" s="8"/>
      <c r="AI252" s="8"/>
      <c r="AJ252" s="8"/>
    </row>
    <row r="253" ht="14.25" customHeight="1">
      <c r="A253" s="44"/>
      <c r="B253" s="12"/>
      <c r="C253" s="12"/>
      <c r="D253" s="12"/>
      <c r="E253" s="12"/>
      <c r="F253" s="12"/>
      <c r="G253" s="10"/>
      <c r="H253" s="8"/>
      <c r="I253" s="12"/>
      <c r="J253" s="8"/>
      <c r="K253" s="8"/>
      <c r="L253" s="8"/>
      <c r="M253" s="8"/>
      <c r="N253" s="8"/>
      <c r="O253" s="8"/>
      <c r="P253" s="12"/>
      <c r="Q253" s="8"/>
      <c r="R253" s="12"/>
      <c r="T253" s="12"/>
      <c r="AH253" s="8"/>
      <c r="AI253" s="8"/>
      <c r="AJ253" s="8"/>
    </row>
    <row r="254" ht="14.25" customHeight="1">
      <c r="A254" s="44"/>
      <c r="B254" s="12"/>
      <c r="C254" s="12"/>
      <c r="D254" s="12"/>
      <c r="E254" s="12"/>
      <c r="F254" s="12"/>
      <c r="G254" s="10"/>
      <c r="H254" s="8"/>
      <c r="I254" s="12"/>
      <c r="J254" s="8"/>
      <c r="K254" s="8"/>
      <c r="L254" s="8"/>
      <c r="M254" s="8"/>
      <c r="N254" s="8"/>
      <c r="O254" s="8"/>
      <c r="P254" s="12"/>
      <c r="Q254" s="8"/>
      <c r="R254" s="12"/>
      <c r="T254" s="12"/>
      <c r="AH254" s="8"/>
      <c r="AI254" s="8"/>
      <c r="AJ254" s="8"/>
    </row>
    <row r="255" ht="14.25" customHeight="1">
      <c r="A255" s="44"/>
      <c r="B255" s="12"/>
      <c r="C255" s="12"/>
      <c r="D255" s="12"/>
      <c r="E255" s="12"/>
      <c r="F255" s="12"/>
      <c r="G255" s="10"/>
      <c r="H255" s="8"/>
      <c r="I255" s="12"/>
      <c r="J255" s="8"/>
      <c r="K255" s="8"/>
      <c r="L255" s="8"/>
      <c r="M255" s="8"/>
      <c r="N255" s="8"/>
      <c r="O255" s="8"/>
      <c r="P255" s="12"/>
      <c r="Q255" s="8"/>
      <c r="R255" s="12"/>
      <c r="T255" s="12"/>
      <c r="AH255" s="8"/>
      <c r="AI255" s="8"/>
      <c r="AJ255" s="8"/>
    </row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J4:L4"/>
    <mergeCell ref="M4:O4"/>
    <mergeCell ref="P4:R4"/>
    <mergeCell ref="S4:U4"/>
    <mergeCell ref="V4:X4"/>
    <mergeCell ref="Y4:AA4"/>
    <mergeCell ref="D3:I3"/>
    <mergeCell ref="J3:O3"/>
    <mergeCell ref="P3:U3"/>
    <mergeCell ref="V3:AA3"/>
    <mergeCell ref="B4:C4"/>
    <mergeCell ref="D4:F4"/>
    <mergeCell ref="G4:I4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31.29"/>
    <col customWidth="1" min="3" max="3" width="25.0"/>
    <col customWidth="1" min="4" max="6" width="10.86"/>
    <col customWidth="1" min="7" max="7" width="10.14"/>
    <col customWidth="1" min="8" max="8" width="13.43"/>
    <col customWidth="1" min="9" max="9" width="20.14"/>
    <col customWidth="1" min="10" max="10" width="16.71"/>
    <col customWidth="1" min="11" max="11" width="15.71"/>
    <col customWidth="1" min="12" max="12" width="16.43"/>
    <col customWidth="1" min="13" max="13" width="18.29"/>
    <col customWidth="1" min="14" max="14" width="20.71"/>
    <col customWidth="1" min="15" max="15" width="25.0"/>
    <col customWidth="1" min="16" max="16" width="20.0"/>
    <col customWidth="1" min="17" max="17" width="11.29"/>
    <col customWidth="1" min="18" max="18" width="13.71"/>
    <col customWidth="1" min="19" max="20" width="8.71"/>
    <col customWidth="1" min="21" max="21" width="20.14"/>
    <col customWidth="1" min="22" max="22" width="20.0"/>
    <col customWidth="1" min="23" max="24" width="19.86"/>
    <col customWidth="1" min="25" max="25" width="21.71"/>
    <col customWidth="1" min="26" max="26" width="23.71"/>
    <col customWidth="1" min="27" max="27" width="9.14"/>
    <col customWidth="1" min="28" max="28" width="27.57"/>
    <col customWidth="1" min="29" max="29" width="28.86"/>
    <col customWidth="1" min="30" max="30" width="25.0"/>
    <col customWidth="1" min="31" max="33" width="36.29"/>
    <col customWidth="1" min="34" max="34" width="17.14"/>
    <col customWidth="1" min="35" max="35" width="30.86"/>
    <col customWidth="1" min="36" max="36" width="14.86"/>
  </cols>
  <sheetData>
    <row r="1">
      <c r="A1" s="16" t="s">
        <v>9</v>
      </c>
      <c r="B1" s="45" t="s">
        <v>830</v>
      </c>
    </row>
    <row r="2">
      <c r="A2" s="16" t="s">
        <v>10</v>
      </c>
      <c r="B2" s="17" t="s">
        <v>831</v>
      </c>
    </row>
    <row r="3">
      <c r="A3" s="46" t="s">
        <v>12</v>
      </c>
      <c r="B3" s="17" t="s">
        <v>831</v>
      </c>
      <c r="D3" s="20" t="s">
        <v>13</v>
      </c>
      <c r="E3" s="21"/>
      <c r="F3" s="21"/>
      <c r="G3" s="21"/>
      <c r="H3" s="21"/>
      <c r="I3" s="5"/>
      <c r="J3" s="22" t="s">
        <v>14</v>
      </c>
      <c r="K3" s="21"/>
      <c r="L3" s="21"/>
      <c r="M3" s="21"/>
      <c r="N3" s="21"/>
      <c r="O3" s="5"/>
      <c r="P3" s="20" t="s">
        <v>15</v>
      </c>
      <c r="Q3" s="21"/>
      <c r="R3" s="21"/>
      <c r="S3" s="21"/>
      <c r="T3" s="21"/>
      <c r="U3" s="5"/>
      <c r="V3" s="23" t="s">
        <v>16</v>
      </c>
      <c r="W3" s="21"/>
      <c r="X3" s="21"/>
      <c r="Y3" s="21"/>
      <c r="Z3" s="21"/>
      <c r="AA3" s="5"/>
    </row>
    <row r="4" ht="21.75" customHeight="1">
      <c r="B4" s="24" t="s">
        <v>17</v>
      </c>
      <c r="C4" s="25"/>
      <c r="D4" s="26" t="s">
        <v>18</v>
      </c>
      <c r="E4" s="27"/>
      <c r="F4" s="28"/>
      <c r="G4" s="29" t="s">
        <v>19</v>
      </c>
      <c r="H4" s="27"/>
      <c r="I4" s="28"/>
      <c r="J4" s="26" t="s">
        <v>18</v>
      </c>
      <c r="K4" s="27"/>
      <c r="L4" s="28"/>
      <c r="M4" s="29" t="s">
        <v>19</v>
      </c>
      <c r="N4" s="27"/>
      <c r="O4" s="28"/>
      <c r="P4" s="26" t="s">
        <v>18</v>
      </c>
      <c r="Q4" s="27"/>
      <c r="R4" s="28"/>
      <c r="S4" s="29" t="s">
        <v>19</v>
      </c>
      <c r="T4" s="27"/>
      <c r="U4" s="28"/>
      <c r="V4" s="26" t="s">
        <v>18</v>
      </c>
      <c r="W4" s="27"/>
      <c r="X4" s="28"/>
      <c r="Y4" s="29" t="s">
        <v>19</v>
      </c>
      <c r="Z4" s="27"/>
      <c r="AA4" s="28"/>
      <c r="AB4" s="47"/>
      <c r="AC4" s="48"/>
      <c r="AD4" s="49"/>
      <c r="AE4" s="48"/>
      <c r="AF4" s="48"/>
      <c r="AG4" s="48"/>
      <c r="AH4" s="50"/>
      <c r="AI4" s="50"/>
      <c r="AJ4" s="51"/>
    </row>
    <row r="5" ht="18.75" customHeight="1">
      <c r="A5" s="30" t="s">
        <v>20</v>
      </c>
      <c r="B5" s="31" t="s">
        <v>21</v>
      </c>
      <c r="C5" s="32" t="s">
        <v>22</v>
      </c>
      <c r="D5" s="33" t="s">
        <v>23</v>
      </c>
      <c r="E5" s="33" t="s">
        <v>24</v>
      </c>
      <c r="F5" s="33" t="s">
        <v>26</v>
      </c>
      <c r="G5" s="35" t="s">
        <v>23</v>
      </c>
      <c r="H5" s="35" t="s">
        <v>24</v>
      </c>
      <c r="I5" s="35" t="s">
        <v>26</v>
      </c>
      <c r="J5" s="33" t="s">
        <v>23</v>
      </c>
      <c r="K5" s="33" t="s">
        <v>24</v>
      </c>
      <c r="L5" s="33" t="s">
        <v>26</v>
      </c>
      <c r="M5" s="35" t="s">
        <v>23</v>
      </c>
      <c r="N5" s="35" t="s">
        <v>24</v>
      </c>
      <c r="O5" s="35" t="s">
        <v>26</v>
      </c>
      <c r="P5" s="33" t="s">
        <v>23</v>
      </c>
      <c r="Q5" s="33" t="s">
        <v>24</v>
      </c>
      <c r="R5" s="33" t="s">
        <v>26</v>
      </c>
      <c r="S5" s="35" t="s">
        <v>23</v>
      </c>
      <c r="T5" s="35" t="s">
        <v>24</v>
      </c>
      <c r="U5" s="35" t="s">
        <v>26</v>
      </c>
      <c r="V5" s="33" t="s">
        <v>23</v>
      </c>
      <c r="W5" s="33" t="s">
        <v>24</v>
      </c>
      <c r="X5" s="33" t="s">
        <v>26</v>
      </c>
      <c r="Y5" s="35" t="s">
        <v>23</v>
      </c>
      <c r="Z5" s="35" t="s">
        <v>24</v>
      </c>
      <c r="AA5" s="35" t="s">
        <v>26</v>
      </c>
      <c r="AB5" s="52"/>
      <c r="AC5" s="52"/>
      <c r="AD5" s="52"/>
      <c r="AE5" s="52"/>
      <c r="AF5" s="52"/>
      <c r="AG5" s="52"/>
      <c r="AH5" s="53"/>
      <c r="AI5" s="53"/>
      <c r="AJ5" s="53"/>
    </row>
    <row r="6">
      <c r="A6" s="36">
        <f t="shared" ref="A6:A55" si="1">ROW(A1)</f>
        <v>1</v>
      </c>
      <c r="B6" s="17" t="s">
        <v>831</v>
      </c>
      <c r="C6" s="17" t="s">
        <v>831</v>
      </c>
      <c r="D6" s="60"/>
      <c r="E6" s="61"/>
      <c r="F6" s="62"/>
      <c r="G6" s="63"/>
      <c r="H6" s="64"/>
      <c r="I6" s="64"/>
      <c r="J6" s="60"/>
      <c r="K6" s="61"/>
      <c r="L6" s="62"/>
      <c r="M6" s="63"/>
      <c r="N6" s="64"/>
      <c r="O6" s="64"/>
      <c r="P6" s="60"/>
      <c r="Q6" s="61"/>
      <c r="R6" s="62"/>
      <c r="S6" s="63"/>
      <c r="T6" s="64"/>
      <c r="U6" s="64"/>
      <c r="V6" s="60"/>
      <c r="W6" s="61"/>
      <c r="X6" s="62"/>
      <c r="Y6" s="63"/>
      <c r="Z6" s="64"/>
      <c r="AA6" s="64"/>
      <c r="AB6" s="53"/>
      <c r="AC6" s="53"/>
      <c r="AD6" s="53"/>
      <c r="AE6" s="56"/>
      <c r="AF6" s="56"/>
      <c r="AG6" s="56"/>
      <c r="AH6" s="57"/>
      <c r="AI6" s="57"/>
      <c r="AJ6" s="57"/>
    </row>
    <row r="7">
      <c r="A7" s="36">
        <f t="shared" si="1"/>
        <v>2</v>
      </c>
      <c r="B7" s="17" t="s">
        <v>831</v>
      </c>
      <c r="C7" s="17" t="s">
        <v>832</v>
      </c>
      <c r="D7" s="60"/>
      <c r="E7" s="61"/>
      <c r="F7" s="62"/>
      <c r="G7" s="63"/>
      <c r="H7" s="64"/>
      <c r="I7" s="64"/>
      <c r="J7" s="60"/>
      <c r="K7" s="61"/>
      <c r="L7" s="62"/>
      <c r="M7" s="63"/>
      <c r="N7" s="64"/>
      <c r="O7" s="64"/>
      <c r="P7" s="60"/>
      <c r="Q7" s="61"/>
      <c r="R7" s="62"/>
      <c r="S7" s="63"/>
      <c r="T7" s="64"/>
      <c r="U7" s="64"/>
      <c r="V7" s="60"/>
      <c r="W7" s="61"/>
      <c r="X7" s="62"/>
      <c r="Y7" s="63"/>
      <c r="Z7" s="64"/>
      <c r="AA7" s="64"/>
      <c r="AB7" s="53"/>
      <c r="AC7" s="53"/>
      <c r="AD7" s="53"/>
      <c r="AE7" s="58"/>
      <c r="AF7" s="58"/>
      <c r="AG7" s="58"/>
      <c r="AH7" s="57"/>
      <c r="AI7" s="57"/>
      <c r="AJ7" s="57"/>
    </row>
    <row r="8">
      <c r="A8" s="36">
        <f t="shared" si="1"/>
        <v>3</v>
      </c>
      <c r="B8" s="17" t="s">
        <v>831</v>
      </c>
      <c r="C8" s="17" t="s">
        <v>833</v>
      </c>
      <c r="D8" s="60"/>
      <c r="E8" s="61"/>
      <c r="F8" s="62"/>
      <c r="G8" s="63"/>
      <c r="H8" s="64"/>
      <c r="I8" s="64"/>
      <c r="J8" s="60"/>
      <c r="K8" s="61"/>
      <c r="L8" s="62"/>
      <c r="M8" s="63"/>
      <c r="N8" s="64"/>
      <c r="O8" s="64"/>
      <c r="P8" s="60"/>
      <c r="Q8" s="61"/>
      <c r="R8" s="62"/>
      <c r="S8" s="63"/>
      <c r="T8" s="64"/>
      <c r="U8" s="64"/>
      <c r="V8" s="60"/>
      <c r="W8" s="61"/>
      <c r="X8" s="62"/>
      <c r="Y8" s="63"/>
      <c r="Z8" s="64"/>
      <c r="AA8" s="64"/>
      <c r="AB8" s="53"/>
      <c r="AC8" s="53"/>
      <c r="AD8" s="53"/>
      <c r="AE8" s="58"/>
      <c r="AF8" s="58"/>
      <c r="AG8" s="58"/>
      <c r="AH8" s="57"/>
      <c r="AI8" s="57"/>
      <c r="AJ8" s="57"/>
    </row>
    <row r="9">
      <c r="A9" s="36">
        <f t="shared" si="1"/>
        <v>4</v>
      </c>
      <c r="B9" s="17" t="s">
        <v>831</v>
      </c>
      <c r="C9" s="17" t="s">
        <v>834</v>
      </c>
      <c r="D9" s="60"/>
      <c r="E9" s="61"/>
      <c r="F9" s="62"/>
      <c r="G9" s="63"/>
      <c r="H9" s="64"/>
      <c r="I9" s="64"/>
      <c r="J9" s="60"/>
      <c r="K9" s="61"/>
      <c r="L9" s="62"/>
      <c r="M9" s="63"/>
      <c r="N9" s="64"/>
      <c r="O9" s="64"/>
      <c r="P9" s="60"/>
      <c r="Q9" s="61"/>
      <c r="R9" s="62"/>
      <c r="S9" s="63"/>
      <c r="T9" s="64"/>
      <c r="U9" s="64"/>
      <c r="V9" s="60"/>
      <c r="W9" s="61"/>
      <c r="X9" s="62"/>
      <c r="Y9" s="63"/>
      <c r="Z9" s="64"/>
      <c r="AA9" s="64"/>
      <c r="AB9" s="53"/>
      <c r="AC9" s="53"/>
      <c r="AD9" s="53"/>
      <c r="AE9" s="58"/>
      <c r="AF9" s="58"/>
      <c r="AG9" s="58"/>
      <c r="AH9" s="57"/>
      <c r="AI9" s="57"/>
      <c r="AJ9" s="57"/>
    </row>
    <row r="10">
      <c r="A10" s="36">
        <f t="shared" si="1"/>
        <v>5</v>
      </c>
      <c r="B10" s="17" t="s">
        <v>831</v>
      </c>
      <c r="C10" s="17" t="s">
        <v>835</v>
      </c>
      <c r="D10" s="60"/>
      <c r="E10" s="61"/>
      <c r="F10" s="62"/>
      <c r="G10" s="63"/>
      <c r="H10" s="64"/>
      <c r="I10" s="64"/>
      <c r="J10" s="60"/>
      <c r="K10" s="61"/>
      <c r="L10" s="62"/>
      <c r="M10" s="63"/>
      <c r="N10" s="64"/>
      <c r="O10" s="64"/>
      <c r="P10" s="60"/>
      <c r="Q10" s="61"/>
      <c r="R10" s="62"/>
      <c r="S10" s="63"/>
      <c r="T10" s="64"/>
      <c r="U10" s="64"/>
      <c r="V10" s="60"/>
      <c r="W10" s="61"/>
      <c r="X10" s="62"/>
      <c r="Y10" s="63"/>
      <c r="Z10" s="64"/>
      <c r="AA10" s="64"/>
      <c r="AB10" s="53"/>
      <c r="AC10" s="53"/>
      <c r="AD10" s="53"/>
      <c r="AE10" s="58"/>
      <c r="AF10" s="58"/>
      <c r="AG10" s="58"/>
      <c r="AH10" s="57"/>
      <c r="AI10" s="57"/>
      <c r="AJ10" s="57"/>
    </row>
    <row r="11">
      <c r="A11" s="36">
        <f t="shared" si="1"/>
        <v>6</v>
      </c>
      <c r="B11" s="17" t="s">
        <v>831</v>
      </c>
      <c r="C11" s="17" t="s">
        <v>836</v>
      </c>
      <c r="D11" s="60"/>
      <c r="E11" s="61"/>
      <c r="F11" s="62"/>
      <c r="G11" s="63"/>
      <c r="H11" s="64"/>
      <c r="I11" s="64"/>
      <c r="J11" s="60"/>
      <c r="K11" s="61"/>
      <c r="L11" s="62"/>
      <c r="M11" s="63"/>
      <c r="N11" s="64"/>
      <c r="O11" s="64"/>
      <c r="P11" s="60"/>
      <c r="Q11" s="61"/>
      <c r="R11" s="62"/>
      <c r="S11" s="63"/>
      <c r="T11" s="64"/>
      <c r="U11" s="64"/>
      <c r="V11" s="60"/>
      <c r="W11" s="61"/>
      <c r="X11" s="62"/>
      <c r="Y11" s="63"/>
      <c r="Z11" s="64"/>
      <c r="AA11" s="64"/>
      <c r="AB11" s="53"/>
      <c r="AC11" s="53"/>
      <c r="AD11" s="53"/>
      <c r="AE11" s="58"/>
      <c r="AF11" s="58"/>
      <c r="AG11" s="58"/>
      <c r="AH11" s="57"/>
      <c r="AI11" s="57"/>
      <c r="AJ11" s="57"/>
    </row>
    <row r="12">
      <c r="A12" s="36">
        <f t="shared" si="1"/>
        <v>7</v>
      </c>
      <c r="B12" s="17" t="s">
        <v>831</v>
      </c>
      <c r="C12" s="17" t="s">
        <v>837</v>
      </c>
      <c r="D12" s="60"/>
      <c r="E12" s="61"/>
      <c r="F12" s="62"/>
      <c r="G12" s="63"/>
      <c r="H12" s="64"/>
      <c r="I12" s="64"/>
      <c r="J12" s="60"/>
      <c r="K12" s="61"/>
      <c r="L12" s="62"/>
      <c r="M12" s="63"/>
      <c r="N12" s="64"/>
      <c r="O12" s="64"/>
      <c r="P12" s="60"/>
      <c r="Q12" s="61"/>
      <c r="R12" s="62"/>
      <c r="S12" s="63"/>
      <c r="T12" s="64"/>
      <c r="U12" s="64"/>
      <c r="V12" s="60"/>
      <c r="W12" s="61"/>
      <c r="X12" s="62"/>
      <c r="Y12" s="63"/>
      <c r="Z12" s="64"/>
      <c r="AA12" s="64"/>
      <c r="AB12" s="53"/>
      <c r="AC12" s="53"/>
      <c r="AD12" s="53"/>
      <c r="AE12" s="58"/>
      <c r="AF12" s="58"/>
      <c r="AG12" s="58"/>
      <c r="AH12" s="57"/>
      <c r="AI12" s="57"/>
      <c r="AJ12" s="57"/>
    </row>
    <row r="13">
      <c r="A13" s="36">
        <f t="shared" si="1"/>
        <v>8</v>
      </c>
      <c r="B13" s="17" t="s">
        <v>832</v>
      </c>
      <c r="C13" s="17" t="s">
        <v>831</v>
      </c>
      <c r="D13" s="60"/>
      <c r="E13" s="61"/>
      <c r="F13" s="62"/>
      <c r="G13" s="63"/>
      <c r="H13" s="64"/>
      <c r="I13" s="64"/>
      <c r="J13" s="60"/>
      <c r="K13" s="61"/>
      <c r="L13" s="62"/>
      <c r="M13" s="63"/>
      <c r="N13" s="64"/>
      <c r="O13" s="64"/>
      <c r="P13" s="60"/>
      <c r="Q13" s="61"/>
      <c r="R13" s="62"/>
      <c r="S13" s="63"/>
      <c r="T13" s="64"/>
      <c r="U13" s="64"/>
      <c r="V13" s="60"/>
      <c r="W13" s="61"/>
      <c r="X13" s="62"/>
      <c r="Y13" s="63"/>
      <c r="Z13" s="64"/>
      <c r="AA13" s="64"/>
      <c r="AB13" s="53"/>
      <c r="AC13" s="53"/>
      <c r="AD13" s="53"/>
      <c r="AE13" s="58"/>
      <c r="AF13" s="58"/>
      <c r="AG13" s="58"/>
      <c r="AH13" s="57"/>
      <c r="AI13" s="57"/>
      <c r="AJ13" s="57"/>
    </row>
    <row r="14">
      <c r="A14" s="36">
        <f t="shared" si="1"/>
        <v>9</v>
      </c>
      <c r="B14" s="17" t="s">
        <v>832</v>
      </c>
      <c r="C14" s="17" t="s">
        <v>832</v>
      </c>
      <c r="D14" s="60"/>
      <c r="E14" s="61"/>
      <c r="F14" s="62"/>
      <c r="G14" s="63"/>
      <c r="H14" s="64"/>
      <c r="I14" s="64"/>
      <c r="J14" s="60"/>
      <c r="K14" s="61"/>
      <c r="L14" s="62"/>
      <c r="M14" s="63"/>
      <c r="N14" s="64"/>
      <c r="O14" s="64"/>
      <c r="P14" s="60"/>
      <c r="Q14" s="61"/>
      <c r="R14" s="62"/>
      <c r="S14" s="63"/>
      <c r="T14" s="64"/>
      <c r="U14" s="64"/>
      <c r="V14" s="60"/>
      <c r="W14" s="61"/>
      <c r="X14" s="62"/>
      <c r="Y14" s="63"/>
      <c r="Z14" s="64"/>
      <c r="AA14" s="64"/>
      <c r="AB14" s="53"/>
      <c r="AC14" s="53"/>
      <c r="AD14" s="53"/>
      <c r="AE14" s="58"/>
      <c r="AF14" s="58"/>
      <c r="AG14" s="58"/>
      <c r="AH14" s="57"/>
      <c r="AI14" s="57"/>
      <c r="AJ14" s="57"/>
    </row>
    <row r="15">
      <c r="A15" s="36">
        <f t="shared" si="1"/>
        <v>10</v>
      </c>
      <c r="B15" s="17" t="s">
        <v>832</v>
      </c>
      <c r="C15" s="17" t="s">
        <v>833</v>
      </c>
      <c r="D15" s="60"/>
      <c r="E15" s="61"/>
      <c r="F15" s="62"/>
      <c r="G15" s="63"/>
      <c r="H15" s="64"/>
      <c r="I15" s="64"/>
      <c r="J15" s="60"/>
      <c r="K15" s="61"/>
      <c r="L15" s="62"/>
      <c r="M15" s="63"/>
      <c r="N15" s="64"/>
      <c r="O15" s="64"/>
      <c r="P15" s="60"/>
      <c r="Q15" s="61"/>
      <c r="R15" s="62"/>
      <c r="S15" s="63"/>
      <c r="T15" s="64"/>
      <c r="U15" s="64"/>
      <c r="V15" s="60"/>
      <c r="W15" s="61"/>
      <c r="X15" s="62"/>
      <c r="Y15" s="63"/>
      <c r="Z15" s="64"/>
      <c r="AA15" s="64"/>
      <c r="AB15" s="53"/>
      <c r="AC15" s="53"/>
      <c r="AD15" s="53"/>
      <c r="AE15" s="58"/>
      <c r="AF15" s="58"/>
      <c r="AG15" s="58"/>
      <c r="AH15" s="57"/>
      <c r="AI15" s="57"/>
      <c r="AJ15" s="57"/>
    </row>
    <row r="16">
      <c r="A16" s="36">
        <f t="shared" si="1"/>
        <v>11</v>
      </c>
      <c r="B16" s="17" t="s">
        <v>832</v>
      </c>
      <c r="C16" s="17" t="s">
        <v>834</v>
      </c>
      <c r="D16" s="60"/>
      <c r="E16" s="61"/>
      <c r="F16" s="62"/>
      <c r="G16" s="63"/>
      <c r="H16" s="64"/>
      <c r="I16" s="64"/>
      <c r="J16" s="60"/>
      <c r="K16" s="61"/>
      <c r="L16" s="62"/>
      <c r="M16" s="63"/>
      <c r="N16" s="64"/>
      <c r="O16" s="64"/>
      <c r="P16" s="60"/>
      <c r="Q16" s="61"/>
      <c r="R16" s="62"/>
      <c r="S16" s="63"/>
      <c r="T16" s="64"/>
      <c r="U16" s="64"/>
      <c r="V16" s="60"/>
      <c r="W16" s="61"/>
      <c r="X16" s="62"/>
      <c r="Y16" s="63"/>
      <c r="Z16" s="64"/>
      <c r="AA16" s="64"/>
      <c r="AB16" s="53"/>
      <c r="AC16" s="53"/>
      <c r="AD16" s="53"/>
      <c r="AE16" s="58"/>
      <c r="AF16" s="58"/>
      <c r="AG16" s="58"/>
      <c r="AH16" s="57"/>
      <c r="AI16" s="57"/>
      <c r="AJ16" s="57"/>
    </row>
    <row r="17">
      <c r="A17" s="36">
        <f t="shared" si="1"/>
        <v>12</v>
      </c>
      <c r="B17" s="17" t="s">
        <v>832</v>
      </c>
      <c r="C17" s="17" t="s">
        <v>835</v>
      </c>
      <c r="D17" s="60"/>
      <c r="E17" s="61"/>
      <c r="F17" s="62"/>
      <c r="G17" s="63"/>
      <c r="H17" s="64"/>
      <c r="I17" s="64"/>
      <c r="J17" s="60"/>
      <c r="K17" s="61"/>
      <c r="L17" s="62"/>
      <c r="M17" s="63"/>
      <c r="N17" s="64"/>
      <c r="O17" s="64"/>
      <c r="P17" s="60"/>
      <c r="Q17" s="61"/>
      <c r="R17" s="62"/>
      <c r="S17" s="63"/>
      <c r="T17" s="64"/>
      <c r="U17" s="64"/>
      <c r="V17" s="60"/>
      <c r="W17" s="61"/>
      <c r="X17" s="62"/>
      <c r="Y17" s="63"/>
      <c r="Z17" s="64"/>
      <c r="AA17" s="64"/>
      <c r="AB17" s="53"/>
      <c r="AC17" s="53"/>
      <c r="AD17" s="53"/>
      <c r="AE17" s="58"/>
      <c r="AF17" s="58"/>
      <c r="AG17" s="58"/>
      <c r="AH17" s="57"/>
      <c r="AI17" s="57"/>
      <c r="AJ17" s="57"/>
    </row>
    <row r="18">
      <c r="A18" s="36">
        <f t="shared" si="1"/>
        <v>13</v>
      </c>
      <c r="B18" s="17" t="s">
        <v>832</v>
      </c>
      <c r="C18" s="17" t="s">
        <v>836</v>
      </c>
      <c r="D18" s="60"/>
      <c r="E18" s="61"/>
      <c r="F18" s="62"/>
      <c r="G18" s="63"/>
      <c r="H18" s="64"/>
      <c r="I18" s="64"/>
      <c r="J18" s="60"/>
      <c r="K18" s="61"/>
      <c r="L18" s="62"/>
      <c r="M18" s="63"/>
      <c r="N18" s="64"/>
      <c r="O18" s="64"/>
      <c r="P18" s="60"/>
      <c r="Q18" s="61"/>
      <c r="R18" s="62"/>
      <c r="S18" s="63"/>
      <c r="T18" s="64"/>
      <c r="U18" s="64"/>
      <c r="V18" s="60"/>
      <c r="W18" s="61"/>
      <c r="X18" s="62"/>
      <c r="Y18" s="63"/>
      <c r="Z18" s="64"/>
      <c r="AA18" s="64"/>
      <c r="AB18" s="53"/>
      <c r="AC18" s="53"/>
      <c r="AD18" s="53"/>
      <c r="AE18" s="58"/>
      <c r="AF18" s="58"/>
      <c r="AG18" s="58"/>
      <c r="AH18" s="57"/>
      <c r="AI18" s="57"/>
      <c r="AJ18" s="57"/>
    </row>
    <row r="19">
      <c r="A19" s="36">
        <f t="shared" si="1"/>
        <v>14</v>
      </c>
      <c r="B19" s="17" t="s">
        <v>832</v>
      </c>
      <c r="C19" s="17" t="s">
        <v>837</v>
      </c>
      <c r="D19" s="60"/>
      <c r="E19" s="61"/>
      <c r="F19" s="62"/>
      <c r="G19" s="63"/>
      <c r="H19" s="64"/>
      <c r="I19" s="64"/>
      <c r="J19" s="60"/>
      <c r="K19" s="61"/>
      <c r="L19" s="62"/>
      <c r="M19" s="63"/>
      <c r="N19" s="64"/>
      <c r="O19" s="64"/>
      <c r="P19" s="60"/>
      <c r="Q19" s="61"/>
      <c r="R19" s="62"/>
      <c r="S19" s="63"/>
      <c r="T19" s="64"/>
      <c r="U19" s="64"/>
      <c r="V19" s="60"/>
      <c r="W19" s="61"/>
      <c r="X19" s="62"/>
      <c r="Y19" s="63"/>
      <c r="Z19" s="64"/>
      <c r="AA19" s="64"/>
      <c r="AB19" s="53"/>
      <c r="AC19" s="53"/>
      <c r="AD19" s="53"/>
      <c r="AE19" s="58"/>
      <c r="AF19" s="58"/>
      <c r="AG19" s="58"/>
      <c r="AH19" s="57"/>
      <c r="AI19" s="57"/>
      <c r="AJ19" s="57"/>
    </row>
    <row r="20">
      <c r="A20" s="36">
        <f t="shared" si="1"/>
        <v>15</v>
      </c>
      <c r="B20" s="17" t="s">
        <v>833</v>
      </c>
      <c r="C20" s="17" t="s">
        <v>831</v>
      </c>
      <c r="D20" s="60"/>
      <c r="E20" s="61"/>
      <c r="F20" s="62"/>
      <c r="G20" s="63"/>
      <c r="H20" s="64"/>
      <c r="I20" s="64"/>
      <c r="J20" s="60"/>
      <c r="K20" s="61"/>
      <c r="L20" s="62"/>
      <c r="M20" s="63"/>
      <c r="N20" s="64"/>
      <c r="O20" s="64"/>
      <c r="P20" s="60"/>
      <c r="Q20" s="61"/>
      <c r="R20" s="62"/>
      <c r="S20" s="63"/>
      <c r="T20" s="64"/>
      <c r="U20" s="64"/>
      <c r="V20" s="60"/>
      <c r="W20" s="61"/>
      <c r="X20" s="62"/>
      <c r="Y20" s="63"/>
      <c r="Z20" s="64"/>
      <c r="AA20" s="64"/>
      <c r="AB20" s="53"/>
      <c r="AC20" s="53"/>
      <c r="AD20" s="53"/>
      <c r="AE20" s="58"/>
      <c r="AF20" s="58"/>
      <c r="AG20" s="58"/>
      <c r="AH20" s="57"/>
      <c r="AI20" s="57"/>
      <c r="AJ20" s="57"/>
    </row>
    <row r="21" ht="15.75" customHeight="1">
      <c r="A21" s="36">
        <f t="shared" si="1"/>
        <v>16</v>
      </c>
      <c r="B21" s="17" t="s">
        <v>833</v>
      </c>
      <c r="C21" s="17" t="s">
        <v>832</v>
      </c>
      <c r="D21" s="60"/>
      <c r="E21" s="61"/>
      <c r="F21" s="62"/>
      <c r="G21" s="63"/>
      <c r="H21" s="64"/>
      <c r="I21" s="64"/>
      <c r="J21" s="60"/>
      <c r="K21" s="61"/>
      <c r="L21" s="62"/>
      <c r="M21" s="63"/>
      <c r="N21" s="64"/>
      <c r="O21" s="64"/>
      <c r="P21" s="60"/>
      <c r="Q21" s="61"/>
      <c r="R21" s="62"/>
      <c r="S21" s="63"/>
      <c r="T21" s="64"/>
      <c r="U21" s="64"/>
      <c r="V21" s="60"/>
      <c r="W21" s="61"/>
      <c r="X21" s="62"/>
      <c r="Y21" s="63"/>
      <c r="Z21" s="64"/>
      <c r="AA21" s="64"/>
      <c r="AB21" s="53"/>
      <c r="AC21" s="53"/>
      <c r="AD21" s="53"/>
      <c r="AE21" s="58"/>
      <c r="AF21" s="58"/>
      <c r="AG21" s="58"/>
      <c r="AH21" s="57"/>
      <c r="AI21" s="57"/>
      <c r="AJ21" s="57"/>
    </row>
    <row r="22" ht="15.75" customHeight="1">
      <c r="A22" s="36">
        <f t="shared" si="1"/>
        <v>17</v>
      </c>
      <c r="B22" s="17" t="s">
        <v>833</v>
      </c>
      <c r="C22" s="17" t="s">
        <v>833</v>
      </c>
      <c r="D22" s="60"/>
      <c r="E22" s="61"/>
      <c r="F22" s="62"/>
      <c r="G22" s="63"/>
      <c r="H22" s="64"/>
      <c r="I22" s="64"/>
      <c r="J22" s="60"/>
      <c r="K22" s="61"/>
      <c r="L22" s="62"/>
      <c r="M22" s="63"/>
      <c r="N22" s="64"/>
      <c r="O22" s="64"/>
      <c r="P22" s="60"/>
      <c r="Q22" s="61"/>
      <c r="R22" s="62"/>
      <c r="S22" s="63"/>
      <c r="T22" s="64"/>
      <c r="U22" s="64"/>
      <c r="V22" s="60"/>
      <c r="W22" s="61"/>
      <c r="X22" s="62"/>
      <c r="Y22" s="63"/>
      <c r="Z22" s="64"/>
      <c r="AA22" s="64"/>
      <c r="AB22" s="53"/>
      <c r="AC22" s="53"/>
      <c r="AD22" s="53"/>
      <c r="AE22" s="58"/>
      <c r="AF22" s="58"/>
      <c r="AG22" s="58"/>
      <c r="AH22" s="57"/>
      <c r="AI22" s="57"/>
      <c r="AJ22" s="57"/>
    </row>
    <row r="23" ht="15.75" customHeight="1">
      <c r="A23" s="36">
        <f t="shared" si="1"/>
        <v>18</v>
      </c>
      <c r="B23" s="17" t="s">
        <v>833</v>
      </c>
      <c r="C23" s="17" t="s">
        <v>834</v>
      </c>
      <c r="D23" s="60"/>
      <c r="E23" s="61"/>
      <c r="F23" s="62"/>
      <c r="G23" s="63"/>
      <c r="H23" s="64"/>
      <c r="I23" s="64"/>
      <c r="J23" s="60"/>
      <c r="K23" s="61"/>
      <c r="L23" s="62"/>
      <c r="M23" s="63"/>
      <c r="N23" s="64"/>
      <c r="O23" s="64"/>
      <c r="P23" s="60"/>
      <c r="Q23" s="61"/>
      <c r="R23" s="62"/>
      <c r="S23" s="63"/>
      <c r="T23" s="64"/>
      <c r="U23" s="64"/>
      <c r="V23" s="60"/>
      <c r="W23" s="61"/>
      <c r="X23" s="62"/>
      <c r="Y23" s="63"/>
      <c r="Z23" s="64"/>
      <c r="AA23" s="64"/>
      <c r="AB23" s="53"/>
      <c r="AC23" s="53"/>
      <c r="AD23" s="53"/>
      <c r="AE23" s="58"/>
      <c r="AF23" s="58"/>
      <c r="AG23" s="58"/>
      <c r="AH23" s="57"/>
      <c r="AI23" s="57"/>
      <c r="AJ23" s="57"/>
    </row>
    <row r="24" ht="15.75" customHeight="1">
      <c r="A24" s="36">
        <f t="shared" si="1"/>
        <v>19</v>
      </c>
      <c r="B24" s="17" t="s">
        <v>833</v>
      </c>
      <c r="C24" s="17" t="s">
        <v>835</v>
      </c>
      <c r="D24" s="60"/>
      <c r="E24" s="61"/>
      <c r="F24" s="62"/>
      <c r="G24" s="63"/>
      <c r="H24" s="64"/>
      <c r="I24" s="64"/>
      <c r="J24" s="60"/>
      <c r="K24" s="61"/>
      <c r="L24" s="62"/>
      <c r="M24" s="63"/>
      <c r="N24" s="64"/>
      <c r="O24" s="64"/>
      <c r="P24" s="60"/>
      <c r="Q24" s="61"/>
      <c r="R24" s="62"/>
      <c r="S24" s="63"/>
      <c r="T24" s="64"/>
      <c r="U24" s="64"/>
      <c r="V24" s="60"/>
      <c r="W24" s="61"/>
      <c r="X24" s="62"/>
      <c r="Y24" s="63"/>
      <c r="Z24" s="64"/>
      <c r="AA24" s="64"/>
      <c r="AB24" s="53"/>
      <c r="AC24" s="53"/>
      <c r="AD24" s="53"/>
      <c r="AE24" s="58"/>
      <c r="AF24" s="58"/>
      <c r="AG24" s="58"/>
      <c r="AH24" s="57"/>
      <c r="AI24" s="57"/>
      <c r="AJ24" s="57"/>
    </row>
    <row r="25" ht="15.75" customHeight="1">
      <c r="A25" s="36">
        <f t="shared" si="1"/>
        <v>20</v>
      </c>
      <c r="B25" s="17" t="s">
        <v>833</v>
      </c>
      <c r="C25" s="17" t="s">
        <v>836</v>
      </c>
      <c r="D25" s="60"/>
      <c r="E25" s="61"/>
      <c r="F25" s="62"/>
      <c r="G25" s="63"/>
      <c r="H25" s="64"/>
      <c r="I25" s="64"/>
      <c r="J25" s="60"/>
      <c r="K25" s="61"/>
      <c r="L25" s="62"/>
      <c r="M25" s="63"/>
      <c r="N25" s="64"/>
      <c r="O25" s="64"/>
      <c r="P25" s="60"/>
      <c r="Q25" s="61"/>
      <c r="R25" s="62"/>
      <c r="S25" s="63"/>
      <c r="T25" s="64"/>
      <c r="U25" s="64"/>
      <c r="V25" s="60"/>
      <c r="W25" s="61"/>
      <c r="X25" s="62"/>
      <c r="Y25" s="63"/>
      <c r="Z25" s="64"/>
      <c r="AA25" s="64"/>
      <c r="AB25" s="53"/>
      <c r="AC25" s="53"/>
      <c r="AD25" s="53"/>
      <c r="AE25" s="58"/>
      <c r="AF25" s="58"/>
      <c r="AG25" s="58"/>
      <c r="AH25" s="57"/>
      <c r="AI25" s="57"/>
      <c r="AJ25" s="57"/>
    </row>
    <row r="26" ht="15.75" customHeight="1">
      <c r="A26" s="36">
        <f t="shared" si="1"/>
        <v>21</v>
      </c>
      <c r="B26" s="17" t="s">
        <v>833</v>
      </c>
      <c r="C26" s="17" t="s">
        <v>837</v>
      </c>
      <c r="D26" s="60"/>
      <c r="E26" s="61"/>
      <c r="F26" s="62"/>
      <c r="G26" s="63"/>
      <c r="H26" s="64"/>
      <c r="I26" s="64"/>
      <c r="J26" s="60"/>
      <c r="K26" s="61"/>
      <c r="L26" s="62"/>
      <c r="M26" s="63"/>
      <c r="N26" s="64"/>
      <c r="O26" s="64"/>
      <c r="P26" s="60"/>
      <c r="Q26" s="61"/>
      <c r="R26" s="62"/>
      <c r="S26" s="63"/>
      <c r="T26" s="64"/>
      <c r="U26" s="64"/>
      <c r="V26" s="60"/>
      <c r="W26" s="61"/>
      <c r="X26" s="62"/>
      <c r="Y26" s="63"/>
      <c r="Z26" s="64"/>
      <c r="AA26" s="64"/>
      <c r="AB26" s="53"/>
      <c r="AC26" s="53"/>
      <c r="AD26" s="53"/>
      <c r="AE26" s="58"/>
      <c r="AF26" s="58"/>
      <c r="AG26" s="58"/>
      <c r="AH26" s="57"/>
      <c r="AI26" s="57"/>
      <c r="AJ26" s="57"/>
    </row>
    <row r="27" ht="15.75" customHeight="1">
      <c r="A27" s="36">
        <f t="shared" si="1"/>
        <v>22</v>
      </c>
      <c r="B27" s="17" t="s">
        <v>834</v>
      </c>
      <c r="C27" s="17" t="s">
        <v>831</v>
      </c>
      <c r="D27" s="60"/>
      <c r="E27" s="61"/>
      <c r="F27" s="62"/>
      <c r="G27" s="63"/>
      <c r="H27" s="64"/>
      <c r="I27" s="64"/>
      <c r="J27" s="60"/>
      <c r="K27" s="61"/>
      <c r="L27" s="62"/>
      <c r="M27" s="63"/>
      <c r="N27" s="64"/>
      <c r="O27" s="64"/>
      <c r="P27" s="60"/>
      <c r="Q27" s="61"/>
      <c r="R27" s="62"/>
      <c r="S27" s="63"/>
      <c r="T27" s="64"/>
      <c r="U27" s="64"/>
      <c r="V27" s="60"/>
      <c r="W27" s="61"/>
      <c r="X27" s="62"/>
      <c r="Y27" s="63"/>
      <c r="Z27" s="64"/>
      <c r="AA27" s="64"/>
      <c r="AB27" s="53"/>
      <c r="AC27" s="53"/>
      <c r="AD27" s="53"/>
      <c r="AE27" s="58"/>
      <c r="AF27" s="58"/>
      <c r="AG27" s="58"/>
      <c r="AH27" s="57"/>
      <c r="AI27" s="57"/>
      <c r="AJ27" s="57"/>
    </row>
    <row r="28" ht="15.75" customHeight="1">
      <c r="A28" s="36">
        <f t="shared" si="1"/>
        <v>23</v>
      </c>
      <c r="B28" s="17" t="s">
        <v>834</v>
      </c>
      <c r="C28" s="17" t="s">
        <v>832</v>
      </c>
      <c r="D28" s="60"/>
      <c r="E28" s="61"/>
      <c r="F28" s="62"/>
      <c r="G28" s="63"/>
      <c r="H28" s="64"/>
      <c r="I28" s="64"/>
      <c r="J28" s="60"/>
      <c r="K28" s="61"/>
      <c r="L28" s="62"/>
      <c r="M28" s="63"/>
      <c r="N28" s="64"/>
      <c r="O28" s="64"/>
      <c r="P28" s="60"/>
      <c r="Q28" s="61"/>
      <c r="R28" s="62"/>
      <c r="S28" s="63"/>
      <c r="T28" s="64"/>
      <c r="U28" s="64"/>
      <c r="V28" s="60"/>
      <c r="W28" s="61"/>
      <c r="X28" s="62"/>
      <c r="Y28" s="63"/>
      <c r="Z28" s="64"/>
      <c r="AA28" s="64"/>
      <c r="AB28" s="53"/>
      <c r="AC28" s="53"/>
      <c r="AD28" s="53"/>
      <c r="AE28" s="58"/>
      <c r="AF28" s="58"/>
      <c r="AG28" s="58"/>
      <c r="AH28" s="57"/>
      <c r="AI28" s="57"/>
      <c r="AJ28" s="57"/>
    </row>
    <row r="29" ht="15.75" customHeight="1">
      <c r="A29" s="36">
        <f t="shared" si="1"/>
        <v>24</v>
      </c>
      <c r="B29" s="17" t="s">
        <v>834</v>
      </c>
      <c r="C29" s="17" t="s">
        <v>833</v>
      </c>
      <c r="D29" s="60"/>
      <c r="E29" s="61"/>
      <c r="F29" s="62"/>
      <c r="G29" s="63"/>
      <c r="H29" s="64"/>
      <c r="I29" s="64"/>
      <c r="J29" s="60"/>
      <c r="K29" s="61"/>
      <c r="L29" s="62"/>
      <c r="M29" s="63"/>
      <c r="N29" s="64"/>
      <c r="O29" s="64"/>
      <c r="P29" s="60"/>
      <c r="Q29" s="61"/>
      <c r="R29" s="62"/>
      <c r="S29" s="63"/>
      <c r="T29" s="64"/>
      <c r="U29" s="64"/>
      <c r="V29" s="60"/>
      <c r="W29" s="61"/>
      <c r="X29" s="62"/>
      <c r="Y29" s="63"/>
      <c r="Z29" s="64"/>
      <c r="AA29" s="64"/>
      <c r="AB29" s="53"/>
      <c r="AC29" s="53"/>
      <c r="AD29" s="53"/>
      <c r="AE29" s="58"/>
      <c r="AF29" s="58"/>
      <c r="AG29" s="58"/>
      <c r="AH29" s="57"/>
      <c r="AI29" s="57"/>
      <c r="AJ29" s="57"/>
    </row>
    <row r="30" ht="15.75" customHeight="1">
      <c r="A30" s="36">
        <f t="shared" si="1"/>
        <v>25</v>
      </c>
      <c r="B30" s="17" t="s">
        <v>834</v>
      </c>
      <c r="C30" s="17" t="s">
        <v>834</v>
      </c>
      <c r="D30" s="60"/>
      <c r="E30" s="61"/>
      <c r="F30" s="62"/>
      <c r="G30" s="63"/>
      <c r="H30" s="64"/>
      <c r="I30" s="64"/>
      <c r="J30" s="60"/>
      <c r="K30" s="61"/>
      <c r="L30" s="62"/>
      <c r="M30" s="63"/>
      <c r="N30" s="64"/>
      <c r="O30" s="64"/>
      <c r="P30" s="60"/>
      <c r="Q30" s="61"/>
      <c r="R30" s="62"/>
      <c r="S30" s="63"/>
      <c r="T30" s="64"/>
      <c r="U30" s="64"/>
      <c r="V30" s="60"/>
      <c r="W30" s="61"/>
      <c r="X30" s="62"/>
      <c r="Y30" s="63"/>
      <c r="Z30" s="64"/>
      <c r="AA30" s="64"/>
      <c r="AB30" s="53"/>
      <c r="AC30" s="53"/>
      <c r="AD30" s="53"/>
      <c r="AE30" s="58"/>
      <c r="AF30" s="58"/>
      <c r="AG30" s="58"/>
      <c r="AH30" s="57"/>
      <c r="AI30" s="57"/>
      <c r="AJ30" s="57"/>
    </row>
    <row r="31" ht="15.75" customHeight="1">
      <c r="A31" s="36">
        <f t="shared" si="1"/>
        <v>26</v>
      </c>
      <c r="B31" s="17" t="s">
        <v>834</v>
      </c>
      <c r="C31" s="17" t="s">
        <v>835</v>
      </c>
      <c r="D31" s="60"/>
      <c r="E31" s="61"/>
      <c r="F31" s="62"/>
      <c r="G31" s="63"/>
      <c r="H31" s="64"/>
      <c r="I31" s="64"/>
      <c r="J31" s="60"/>
      <c r="K31" s="61"/>
      <c r="L31" s="62"/>
      <c r="M31" s="63"/>
      <c r="N31" s="64"/>
      <c r="O31" s="64"/>
      <c r="P31" s="60"/>
      <c r="Q31" s="61"/>
      <c r="R31" s="62"/>
      <c r="S31" s="63"/>
      <c r="T31" s="64"/>
      <c r="U31" s="64"/>
      <c r="V31" s="60"/>
      <c r="W31" s="61"/>
      <c r="X31" s="62"/>
      <c r="Y31" s="63"/>
      <c r="Z31" s="64"/>
      <c r="AA31" s="64"/>
      <c r="AB31" s="53"/>
      <c r="AC31" s="53"/>
      <c r="AD31" s="53"/>
      <c r="AE31" s="58"/>
      <c r="AF31" s="58"/>
      <c r="AG31" s="58"/>
      <c r="AH31" s="57"/>
      <c r="AI31" s="57"/>
      <c r="AJ31" s="57"/>
    </row>
    <row r="32" ht="15.75" customHeight="1">
      <c r="A32" s="36">
        <f t="shared" si="1"/>
        <v>27</v>
      </c>
      <c r="B32" s="17" t="s">
        <v>834</v>
      </c>
      <c r="C32" s="17" t="s">
        <v>836</v>
      </c>
      <c r="D32" s="60"/>
      <c r="E32" s="61"/>
      <c r="F32" s="62"/>
      <c r="G32" s="63"/>
      <c r="H32" s="64"/>
      <c r="I32" s="64"/>
      <c r="J32" s="60"/>
      <c r="K32" s="61"/>
      <c r="L32" s="62"/>
      <c r="M32" s="63"/>
      <c r="N32" s="64"/>
      <c r="O32" s="64"/>
      <c r="P32" s="60"/>
      <c r="Q32" s="61"/>
      <c r="R32" s="62"/>
      <c r="S32" s="63"/>
      <c r="T32" s="64"/>
      <c r="U32" s="64"/>
      <c r="V32" s="60"/>
      <c r="W32" s="61"/>
      <c r="X32" s="62"/>
      <c r="Y32" s="63"/>
      <c r="Z32" s="64"/>
      <c r="AA32" s="64"/>
      <c r="AB32" s="53"/>
      <c r="AC32" s="53"/>
      <c r="AD32" s="53"/>
      <c r="AE32" s="58"/>
      <c r="AF32" s="58"/>
      <c r="AG32" s="58"/>
      <c r="AH32" s="57"/>
      <c r="AI32" s="57"/>
      <c r="AJ32" s="57"/>
    </row>
    <row r="33" ht="15.75" customHeight="1">
      <c r="A33" s="36">
        <f t="shared" si="1"/>
        <v>28</v>
      </c>
      <c r="B33" s="17" t="s">
        <v>834</v>
      </c>
      <c r="C33" s="17" t="s">
        <v>837</v>
      </c>
      <c r="D33" s="60"/>
      <c r="E33" s="61"/>
      <c r="F33" s="62"/>
      <c r="G33" s="63"/>
      <c r="H33" s="64"/>
      <c r="I33" s="64"/>
      <c r="J33" s="60"/>
      <c r="K33" s="61"/>
      <c r="L33" s="62"/>
      <c r="M33" s="63"/>
      <c r="N33" s="64"/>
      <c r="O33" s="64"/>
      <c r="P33" s="60"/>
      <c r="Q33" s="61"/>
      <c r="R33" s="62"/>
      <c r="S33" s="63"/>
      <c r="T33" s="64"/>
      <c r="U33" s="64"/>
      <c r="V33" s="60"/>
      <c r="W33" s="61"/>
      <c r="X33" s="62"/>
      <c r="Y33" s="63"/>
      <c r="Z33" s="64"/>
      <c r="AA33" s="64"/>
      <c r="AB33" s="53"/>
      <c r="AC33" s="53"/>
      <c r="AD33" s="53"/>
      <c r="AE33" s="58"/>
      <c r="AF33" s="58"/>
      <c r="AG33" s="58"/>
      <c r="AH33" s="57"/>
      <c r="AI33" s="57"/>
      <c r="AJ33" s="57"/>
    </row>
    <row r="34" ht="15.75" customHeight="1">
      <c r="A34" s="36">
        <f t="shared" si="1"/>
        <v>29</v>
      </c>
      <c r="B34" s="17" t="s">
        <v>835</v>
      </c>
      <c r="C34" s="17" t="s">
        <v>831</v>
      </c>
      <c r="D34" s="60"/>
      <c r="E34" s="61"/>
      <c r="F34" s="62"/>
      <c r="G34" s="63"/>
      <c r="H34" s="64"/>
      <c r="I34" s="64"/>
      <c r="J34" s="60"/>
      <c r="K34" s="61"/>
      <c r="L34" s="62"/>
      <c r="M34" s="63"/>
      <c r="N34" s="64"/>
      <c r="O34" s="64"/>
      <c r="P34" s="60"/>
      <c r="Q34" s="61"/>
      <c r="R34" s="62"/>
      <c r="S34" s="63"/>
      <c r="T34" s="64"/>
      <c r="U34" s="64"/>
      <c r="V34" s="60"/>
      <c r="W34" s="61"/>
      <c r="X34" s="62"/>
      <c r="Y34" s="63"/>
      <c r="Z34" s="64"/>
      <c r="AA34" s="64"/>
      <c r="AB34" s="53"/>
      <c r="AC34" s="53"/>
      <c r="AD34" s="53"/>
      <c r="AE34" s="58"/>
      <c r="AF34" s="58"/>
      <c r="AG34" s="58"/>
      <c r="AH34" s="57"/>
      <c r="AI34" s="57"/>
      <c r="AJ34" s="57"/>
    </row>
    <row r="35" ht="15.75" customHeight="1">
      <c r="A35" s="36">
        <f t="shared" si="1"/>
        <v>30</v>
      </c>
      <c r="B35" s="17" t="s">
        <v>835</v>
      </c>
      <c r="C35" s="17" t="s">
        <v>832</v>
      </c>
      <c r="D35" s="60"/>
      <c r="E35" s="61"/>
      <c r="F35" s="62"/>
      <c r="G35" s="63"/>
      <c r="H35" s="64"/>
      <c r="I35" s="64"/>
      <c r="J35" s="60"/>
      <c r="K35" s="61"/>
      <c r="L35" s="62"/>
      <c r="M35" s="63"/>
      <c r="N35" s="64"/>
      <c r="O35" s="64"/>
      <c r="P35" s="60"/>
      <c r="Q35" s="61"/>
      <c r="R35" s="62"/>
      <c r="S35" s="63"/>
      <c r="T35" s="64"/>
      <c r="U35" s="64"/>
      <c r="V35" s="60"/>
      <c r="W35" s="61"/>
      <c r="X35" s="62"/>
      <c r="Y35" s="63"/>
      <c r="Z35" s="64"/>
      <c r="AA35" s="64"/>
      <c r="AB35" s="53"/>
      <c r="AC35" s="53"/>
      <c r="AD35" s="53"/>
      <c r="AE35" s="58"/>
      <c r="AF35" s="58"/>
      <c r="AG35" s="58"/>
      <c r="AH35" s="57"/>
      <c r="AI35" s="57"/>
      <c r="AJ35" s="57"/>
    </row>
    <row r="36" ht="15.75" customHeight="1">
      <c r="A36" s="36">
        <f t="shared" si="1"/>
        <v>31</v>
      </c>
      <c r="B36" s="17" t="s">
        <v>835</v>
      </c>
      <c r="C36" s="17" t="s">
        <v>833</v>
      </c>
      <c r="D36" s="60"/>
      <c r="E36" s="61"/>
      <c r="F36" s="62"/>
      <c r="G36" s="63"/>
      <c r="H36" s="64"/>
      <c r="I36" s="64"/>
      <c r="J36" s="60"/>
      <c r="K36" s="61"/>
      <c r="L36" s="62"/>
      <c r="M36" s="63"/>
      <c r="N36" s="64"/>
      <c r="O36" s="64"/>
      <c r="P36" s="60"/>
      <c r="Q36" s="61"/>
      <c r="R36" s="62"/>
      <c r="S36" s="63"/>
      <c r="T36" s="64"/>
      <c r="U36" s="64"/>
      <c r="V36" s="60"/>
      <c r="W36" s="61"/>
      <c r="X36" s="62"/>
      <c r="Y36" s="63"/>
      <c r="Z36" s="64"/>
      <c r="AA36" s="64"/>
      <c r="AB36" s="53"/>
      <c r="AC36" s="53"/>
      <c r="AD36" s="53"/>
      <c r="AE36" s="58"/>
      <c r="AF36" s="58"/>
      <c r="AG36" s="58"/>
      <c r="AH36" s="57"/>
      <c r="AI36" s="57"/>
      <c r="AJ36" s="57"/>
    </row>
    <row r="37" ht="15.75" customHeight="1">
      <c r="A37" s="36">
        <f t="shared" si="1"/>
        <v>32</v>
      </c>
      <c r="B37" s="17" t="s">
        <v>835</v>
      </c>
      <c r="C37" s="17" t="s">
        <v>834</v>
      </c>
      <c r="D37" s="60"/>
      <c r="E37" s="61"/>
      <c r="F37" s="62"/>
      <c r="G37" s="63"/>
      <c r="H37" s="64"/>
      <c r="I37" s="64"/>
      <c r="J37" s="60"/>
      <c r="K37" s="61"/>
      <c r="L37" s="62"/>
      <c r="M37" s="63"/>
      <c r="N37" s="64"/>
      <c r="O37" s="64"/>
      <c r="P37" s="60"/>
      <c r="Q37" s="61"/>
      <c r="R37" s="62"/>
      <c r="S37" s="63"/>
      <c r="T37" s="64"/>
      <c r="U37" s="64"/>
      <c r="V37" s="60"/>
      <c r="W37" s="61"/>
      <c r="X37" s="62"/>
      <c r="Y37" s="63"/>
      <c r="Z37" s="64"/>
      <c r="AA37" s="64"/>
      <c r="AB37" s="53"/>
      <c r="AC37" s="53"/>
      <c r="AD37" s="53"/>
      <c r="AE37" s="58"/>
      <c r="AF37" s="58"/>
      <c r="AG37" s="58"/>
      <c r="AH37" s="57"/>
      <c r="AI37" s="57"/>
      <c r="AJ37" s="57"/>
    </row>
    <row r="38" ht="15.75" customHeight="1">
      <c r="A38" s="36">
        <f t="shared" si="1"/>
        <v>33</v>
      </c>
      <c r="B38" s="17" t="s">
        <v>835</v>
      </c>
      <c r="C38" s="17" t="s">
        <v>835</v>
      </c>
      <c r="D38" s="60"/>
      <c r="E38" s="61"/>
      <c r="F38" s="62"/>
      <c r="G38" s="63"/>
      <c r="H38" s="64"/>
      <c r="I38" s="64"/>
      <c r="J38" s="60"/>
      <c r="K38" s="61"/>
      <c r="L38" s="62"/>
      <c r="M38" s="63"/>
      <c r="N38" s="64"/>
      <c r="O38" s="64"/>
      <c r="P38" s="60"/>
      <c r="Q38" s="61"/>
      <c r="R38" s="62"/>
      <c r="S38" s="63"/>
      <c r="T38" s="64"/>
      <c r="U38" s="64"/>
      <c r="V38" s="60"/>
      <c r="W38" s="61"/>
      <c r="X38" s="62"/>
      <c r="Y38" s="63"/>
      <c r="Z38" s="64"/>
      <c r="AA38" s="64"/>
      <c r="AB38" s="53"/>
      <c r="AC38" s="53"/>
      <c r="AD38" s="53"/>
      <c r="AE38" s="58"/>
      <c r="AF38" s="58"/>
      <c r="AG38" s="58"/>
      <c r="AH38" s="57"/>
      <c r="AI38" s="57"/>
      <c r="AJ38" s="57"/>
    </row>
    <row r="39" ht="15.75" customHeight="1">
      <c r="A39" s="36">
        <f t="shared" si="1"/>
        <v>34</v>
      </c>
      <c r="B39" s="17" t="s">
        <v>835</v>
      </c>
      <c r="C39" s="17" t="s">
        <v>836</v>
      </c>
      <c r="D39" s="60"/>
      <c r="E39" s="61"/>
      <c r="F39" s="62"/>
      <c r="G39" s="63"/>
      <c r="H39" s="64"/>
      <c r="I39" s="64"/>
      <c r="J39" s="60"/>
      <c r="K39" s="61"/>
      <c r="L39" s="62"/>
      <c r="M39" s="63"/>
      <c r="N39" s="64"/>
      <c r="O39" s="64"/>
      <c r="P39" s="60"/>
      <c r="Q39" s="61"/>
      <c r="R39" s="62"/>
      <c r="S39" s="63"/>
      <c r="T39" s="64"/>
      <c r="U39" s="64"/>
      <c r="V39" s="60"/>
      <c r="W39" s="61"/>
      <c r="X39" s="62"/>
      <c r="Y39" s="63"/>
      <c r="Z39" s="64"/>
      <c r="AA39" s="64"/>
      <c r="AB39" s="53"/>
      <c r="AC39" s="53"/>
      <c r="AD39" s="53"/>
      <c r="AE39" s="58"/>
      <c r="AF39" s="58"/>
      <c r="AG39" s="58"/>
      <c r="AH39" s="57"/>
      <c r="AI39" s="57"/>
      <c r="AJ39" s="57"/>
    </row>
    <row r="40" ht="15.75" customHeight="1">
      <c r="A40" s="36">
        <f t="shared" si="1"/>
        <v>35</v>
      </c>
      <c r="B40" s="17" t="s">
        <v>835</v>
      </c>
      <c r="C40" s="17" t="s">
        <v>837</v>
      </c>
      <c r="D40" s="60"/>
      <c r="E40" s="61"/>
      <c r="F40" s="62"/>
      <c r="G40" s="63"/>
      <c r="H40" s="64"/>
      <c r="I40" s="64"/>
      <c r="J40" s="60"/>
      <c r="K40" s="61"/>
      <c r="L40" s="62"/>
      <c r="M40" s="63"/>
      <c r="N40" s="64"/>
      <c r="O40" s="64"/>
      <c r="P40" s="60"/>
      <c r="Q40" s="61"/>
      <c r="R40" s="62"/>
      <c r="S40" s="63"/>
      <c r="T40" s="64"/>
      <c r="U40" s="64"/>
      <c r="V40" s="60"/>
      <c r="W40" s="61"/>
      <c r="X40" s="62"/>
      <c r="Y40" s="63"/>
      <c r="Z40" s="64"/>
      <c r="AA40" s="64"/>
      <c r="AB40" s="53"/>
      <c r="AC40" s="53"/>
      <c r="AD40" s="53"/>
      <c r="AE40" s="58"/>
      <c r="AF40" s="58"/>
      <c r="AG40" s="58"/>
      <c r="AH40" s="57"/>
      <c r="AI40" s="57"/>
      <c r="AJ40" s="57"/>
    </row>
    <row r="41" ht="15.75" customHeight="1">
      <c r="A41" s="36">
        <f t="shared" si="1"/>
        <v>36</v>
      </c>
      <c r="B41" s="17" t="s">
        <v>836</v>
      </c>
      <c r="C41" s="17" t="s">
        <v>831</v>
      </c>
      <c r="D41" s="60"/>
      <c r="E41" s="61"/>
      <c r="F41" s="62"/>
      <c r="G41" s="63"/>
      <c r="H41" s="64"/>
      <c r="I41" s="64"/>
      <c r="J41" s="60"/>
      <c r="K41" s="61"/>
      <c r="L41" s="62"/>
      <c r="M41" s="63"/>
      <c r="N41" s="64"/>
      <c r="O41" s="64"/>
      <c r="P41" s="60"/>
      <c r="Q41" s="61"/>
      <c r="R41" s="62"/>
      <c r="S41" s="63"/>
      <c r="T41" s="64"/>
      <c r="U41" s="64"/>
      <c r="V41" s="60"/>
      <c r="W41" s="61"/>
      <c r="X41" s="62"/>
      <c r="Y41" s="63"/>
      <c r="Z41" s="64"/>
      <c r="AA41" s="64"/>
      <c r="AB41" s="53"/>
      <c r="AC41" s="53"/>
      <c r="AD41" s="53"/>
      <c r="AE41" s="58"/>
      <c r="AF41" s="58"/>
      <c r="AG41" s="58"/>
      <c r="AH41" s="57"/>
      <c r="AI41" s="57"/>
      <c r="AJ41" s="57"/>
    </row>
    <row r="42" ht="15.75" customHeight="1">
      <c r="A42" s="36">
        <f t="shared" si="1"/>
        <v>37</v>
      </c>
      <c r="B42" s="17" t="s">
        <v>836</v>
      </c>
      <c r="C42" s="17" t="s">
        <v>832</v>
      </c>
      <c r="D42" s="60"/>
      <c r="E42" s="61"/>
      <c r="F42" s="62"/>
      <c r="G42" s="63"/>
      <c r="H42" s="64"/>
      <c r="I42" s="64"/>
      <c r="J42" s="60"/>
      <c r="K42" s="61"/>
      <c r="L42" s="62"/>
      <c r="M42" s="63"/>
      <c r="N42" s="64"/>
      <c r="O42" s="64"/>
      <c r="P42" s="60"/>
      <c r="Q42" s="61"/>
      <c r="R42" s="62"/>
      <c r="S42" s="63"/>
      <c r="T42" s="64"/>
      <c r="U42" s="64"/>
      <c r="V42" s="60"/>
      <c r="W42" s="61"/>
      <c r="X42" s="62"/>
      <c r="Y42" s="63"/>
      <c r="Z42" s="64"/>
      <c r="AA42" s="64"/>
      <c r="AB42" s="53"/>
      <c r="AC42" s="53"/>
      <c r="AD42" s="53"/>
      <c r="AE42" s="58"/>
      <c r="AF42" s="58"/>
      <c r="AG42" s="58"/>
      <c r="AH42" s="57"/>
      <c r="AI42" s="57"/>
      <c r="AJ42" s="57"/>
    </row>
    <row r="43" ht="15.75" customHeight="1">
      <c r="A43" s="36">
        <f t="shared" si="1"/>
        <v>38</v>
      </c>
      <c r="B43" s="17" t="s">
        <v>836</v>
      </c>
      <c r="C43" s="17" t="s">
        <v>833</v>
      </c>
      <c r="D43" s="60"/>
      <c r="E43" s="61"/>
      <c r="F43" s="62"/>
      <c r="G43" s="63"/>
      <c r="H43" s="64"/>
      <c r="I43" s="64"/>
      <c r="J43" s="60"/>
      <c r="K43" s="61"/>
      <c r="L43" s="62"/>
      <c r="M43" s="63"/>
      <c r="N43" s="64"/>
      <c r="O43" s="64"/>
      <c r="P43" s="60"/>
      <c r="Q43" s="61"/>
      <c r="R43" s="62"/>
      <c r="S43" s="63"/>
      <c r="T43" s="64"/>
      <c r="U43" s="64"/>
      <c r="V43" s="60"/>
      <c r="W43" s="61"/>
      <c r="X43" s="62"/>
      <c r="Y43" s="63"/>
      <c r="Z43" s="64"/>
      <c r="AA43" s="64"/>
      <c r="AB43" s="53"/>
      <c r="AC43" s="53"/>
      <c r="AD43" s="53"/>
      <c r="AE43" s="58"/>
      <c r="AF43" s="58"/>
      <c r="AG43" s="58"/>
      <c r="AH43" s="57"/>
      <c r="AI43" s="57"/>
      <c r="AJ43" s="57"/>
    </row>
    <row r="44" ht="15.75" customHeight="1">
      <c r="A44" s="36">
        <f t="shared" si="1"/>
        <v>39</v>
      </c>
      <c r="B44" s="17" t="s">
        <v>836</v>
      </c>
      <c r="C44" s="17" t="s">
        <v>834</v>
      </c>
      <c r="D44" s="60"/>
      <c r="E44" s="61"/>
      <c r="F44" s="62"/>
      <c r="G44" s="63"/>
      <c r="H44" s="64"/>
      <c r="I44" s="64"/>
      <c r="J44" s="60"/>
      <c r="K44" s="61"/>
      <c r="L44" s="62"/>
      <c r="M44" s="63"/>
      <c r="N44" s="64"/>
      <c r="O44" s="64"/>
      <c r="P44" s="60"/>
      <c r="Q44" s="61"/>
      <c r="R44" s="62"/>
      <c r="S44" s="63"/>
      <c r="T44" s="64"/>
      <c r="U44" s="64"/>
      <c r="V44" s="60"/>
      <c r="W44" s="61"/>
      <c r="X44" s="62"/>
      <c r="Y44" s="63"/>
      <c r="Z44" s="64"/>
      <c r="AA44" s="64"/>
      <c r="AB44" s="53"/>
      <c r="AC44" s="53"/>
      <c r="AD44" s="53"/>
      <c r="AE44" s="58"/>
      <c r="AF44" s="58"/>
      <c r="AG44" s="58"/>
      <c r="AH44" s="57"/>
      <c r="AI44" s="57"/>
      <c r="AJ44" s="57"/>
    </row>
    <row r="45" ht="15.75" customHeight="1">
      <c r="A45" s="36">
        <f t="shared" si="1"/>
        <v>40</v>
      </c>
      <c r="B45" s="17" t="s">
        <v>836</v>
      </c>
      <c r="C45" s="17" t="s">
        <v>835</v>
      </c>
      <c r="D45" s="60"/>
      <c r="E45" s="61"/>
      <c r="F45" s="62"/>
      <c r="G45" s="63"/>
      <c r="H45" s="64"/>
      <c r="I45" s="64"/>
      <c r="J45" s="60"/>
      <c r="K45" s="61"/>
      <c r="L45" s="62"/>
      <c r="M45" s="63"/>
      <c r="N45" s="64"/>
      <c r="O45" s="64"/>
      <c r="P45" s="60"/>
      <c r="Q45" s="61"/>
      <c r="R45" s="62"/>
      <c r="S45" s="63"/>
      <c r="T45" s="64"/>
      <c r="U45" s="64"/>
      <c r="V45" s="60"/>
      <c r="W45" s="61"/>
      <c r="X45" s="62"/>
      <c r="Y45" s="63"/>
      <c r="Z45" s="64"/>
      <c r="AA45" s="64"/>
      <c r="AB45" s="53"/>
      <c r="AC45" s="53"/>
      <c r="AD45" s="53"/>
      <c r="AE45" s="58"/>
      <c r="AF45" s="58"/>
      <c r="AG45" s="58"/>
      <c r="AH45" s="57"/>
      <c r="AI45" s="57"/>
      <c r="AJ45" s="57"/>
    </row>
    <row r="46" ht="15.75" customHeight="1">
      <c r="A46" s="36">
        <f t="shared" si="1"/>
        <v>41</v>
      </c>
      <c r="B46" s="17" t="s">
        <v>836</v>
      </c>
      <c r="C46" s="17" t="s">
        <v>836</v>
      </c>
      <c r="D46" s="60"/>
      <c r="E46" s="61"/>
      <c r="F46" s="62"/>
      <c r="G46" s="63"/>
      <c r="H46" s="64"/>
      <c r="I46" s="64"/>
      <c r="J46" s="60"/>
      <c r="K46" s="61"/>
      <c r="L46" s="62"/>
      <c r="M46" s="63"/>
      <c r="N46" s="64"/>
      <c r="O46" s="64"/>
      <c r="P46" s="60"/>
      <c r="Q46" s="61"/>
      <c r="R46" s="62"/>
      <c r="S46" s="63"/>
      <c r="T46" s="64"/>
      <c r="U46" s="64"/>
      <c r="V46" s="60"/>
      <c r="W46" s="61"/>
      <c r="X46" s="62"/>
      <c r="Y46" s="63"/>
      <c r="Z46" s="64"/>
      <c r="AA46" s="64"/>
      <c r="AB46" s="53"/>
      <c r="AC46" s="53"/>
      <c r="AD46" s="53"/>
      <c r="AE46" s="58"/>
      <c r="AF46" s="58"/>
      <c r="AG46" s="58"/>
      <c r="AH46" s="57"/>
      <c r="AI46" s="57"/>
      <c r="AJ46" s="57"/>
    </row>
    <row r="47" ht="15.75" customHeight="1">
      <c r="A47" s="36">
        <f t="shared" si="1"/>
        <v>42</v>
      </c>
      <c r="B47" s="17" t="s">
        <v>836</v>
      </c>
      <c r="C47" s="17" t="s">
        <v>837</v>
      </c>
      <c r="D47" s="60"/>
      <c r="E47" s="61"/>
      <c r="F47" s="62"/>
      <c r="G47" s="63"/>
      <c r="H47" s="64"/>
      <c r="I47" s="64"/>
      <c r="J47" s="60"/>
      <c r="K47" s="61"/>
      <c r="L47" s="62"/>
      <c r="M47" s="63"/>
      <c r="N47" s="64"/>
      <c r="O47" s="64"/>
      <c r="P47" s="60"/>
      <c r="Q47" s="61"/>
      <c r="R47" s="62"/>
      <c r="S47" s="63"/>
      <c r="T47" s="64"/>
      <c r="U47" s="64"/>
      <c r="V47" s="60"/>
      <c r="W47" s="61"/>
      <c r="X47" s="62"/>
      <c r="Y47" s="63"/>
      <c r="Z47" s="64"/>
      <c r="AA47" s="64"/>
      <c r="AB47" s="53"/>
      <c r="AC47" s="53"/>
      <c r="AD47" s="53"/>
      <c r="AE47" s="58"/>
      <c r="AF47" s="58"/>
      <c r="AG47" s="58"/>
      <c r="AH47" s="57"/>
      <c r="AI47" s="57"/>
      <c r="AJ47" s="57"/>
    </row>
    <row r="48" ht="15.75" customHeight="1">
      <c r="A48" s="36">
        <f t="shared" si="1"/>
        <v>43</v>
      </c>
      <c r="B48" s="17" t="s">
        <v>837</v>
      </c>
      <c r="C48" s="17" t="s">
        <v>831</v>
      </c>
      <c r="D48" s="60"/>
      <c r="E48" s="61"/>
      <c r="F48" s="62"/>
      <c r="G48" s="63"/>
      <c r="H48" s="64"/>
      <c r="I48" s="64"/>
      <c r="J48" s="60"/>
      <c r="K48" s="61"/>
      <c r="L48" s="62"/>
      <c r="M48" s="63"/>
      <c r="N48" s="64"/>
      <c r="O48" s="64"/>
      <c r="P48" s="60"/>
      <c r="Q48" s="61"/>
      <c r="R48" s="62"/>
      <c r="S48" s="63"/>
      <c r="T48" s="64"/>
      <c r="U48" s="64"/>
      <c r="V48" s="60"/>
      <c r="W48" s="61"/>
      <c r="X48" s="62"/>
      <c r="Y48" s="63"/>
      <c r="Z48" s="64"/>
      <c r="AA48" s="64"/>
      <c r="AB48" s="53"/>
      <c r="AC48" s="53"/>
      <c r="AD48" s="53"/>
      <c r="AE48" s="58"/>
      <c r="AF48" s="58"/>
      <c r="AG48" s="58"/>
      <c r="AH48" s="57"/>
      <c r="AI48" s="57"/>
      <c r="AJ48" s="57"/>
    </row>
    <row r="49" ht="15.75" customHeight="1">
      <c r="A49" s="36">
        <f t="shared" si="1"/>
        <v>44</v>
      </c>
      <c r="B49" s="17" t="s">
        <v>837</v>
      </c>
      <c r="C49" s="17" t="s">
        <v>832</v>
      </c>
      <c r="D49" s="60"/>
      <c r="E49" s="61"/>
      <c r="F49" s="62"/>
      <c r="G49" s="63"/>
      <c r="H49" s="64"/>
      <c r="I49" s="64"/>
      <c r="J49" s="60"/>
      <c r="K49" s="61"/>
      <c r="L49" s="62"/>
      <c r="M49" s="63"/>
      <c r="N49" s="64"/>
      <c r="O49" s="64"/>
      <c r="P49" s="60"/>
      <c r="Q49" s="61"/>
      <c r="R49" s="62"/>
      <c r="S49" s="63"/>
      <c r="T49" s="64"/>
      <c r="U49" s="64"/>
      <c r="V49" s="60"/>
      <c r="W49" s="61"/>
      <c r="X49" s="62"/>
      <c r="Y49" s="63"/>
      <c r="Z49" s="64"/>
      <c r="AA49" s="64"/>
      <c r="AB49" s="53"/>
      <c r="AC49" s="53"/>
      <c r="AD49" s="53"/>
      <c r="AE49" s="58"/>
      <c r="AF49" s="58"/>
      <c r="AG49" s="58"/>
      <c r="AH49" s="57"/>
      <c r="AI49" s="57"/>
      <c r="AJ49" s="57"/>
    </row>
    <row r="50" ht="15.75" customHeight="1">
      <c r="A50" s="36">
        <f t="shared" si="1"/>
        <v>45</v>
      </c>
      <c r="B50" s="17" t="s">
        <v>837</v>
      </c>
      <c r="C50" s="17" t="s">
        <v>833</v>
      </c>
      <c r="D50" s="60"/>
      <c r="E50" s="61"/>
      <c r="F50" s="62"/>
      <c r="G50" s="63"/>
      <c r="H50" s="64"/>
      <c r="I50" s="64"/>
      <c r="J50" s="60"/>
      <c r="K50" s="61"/>
      <c r="L50" s="62"/>
      <c r="M50" s="63"/>
      <c r="N50" s="64"/>
      <c r="O50" s="64"/>
      <c r="P50" s="60"/>
      <c r="Q50" s="61"/>
      <c r="R50" s="62"/>
      <c r="S50" s="63"/>
      <c r="T50" s="64"/>
      <c r="U50" s="64"/>
      <c r="V50" s="60"/>
      <c r="W50" s="61"/>
      <c r="X50" s="62"/>
      <c r="Y50" s="63"/>
      <c r="Z50" s="64"/>
      <c r="AA50" s="64"/>
      <c r="AB50" s="53"/>
      <c r="AC50" s="53"/>
      <c r="AD50" s="53"/>
      <c r="AE50" s="58"/>
      <c r="AF50" s="58"/>
      <c r="AG50" s="58"/>
      <c r="AH50" s="57"/>
      <c r="AI50" s="57"/>
      <c r="AJ50" s="57"/>
    </row>
    <row r="51" ht="15.75" customHeight="1">
      <c r="A51" s="36">
        <f t="shared" si="1"/>
        <v>46</v>
      </c>
      <c r="B51" s="17" t="s">
        <v>837</v>
      </c>
      <c r="C51" s="17" t="s">
        <v>834</v>
      </c>
      <c r="D51" s="60"/>
      <c r="E51" s="61"/>
      <c r="F51" s="62"/>
      <c r="G51" s="63"/>
      <c r="H51" s="64"/>
      <c r="I51" s="64"/>
      <c r="J51" s="60"/>
      <c r="K51" s="61"/>
      <c r="L51" s="62"/>
      <c r="M51" s="63"/>
      <c r="N51" s="64"/>
      <c r="O51" s="64"/>
      <c r="P51" s="60"/>
      <c r="Q51" s="61"/>
      <c r="R51" s="62"/>
      <c r="S51" s="63"/>
      <c r="T51" s="64"/>
      <c r="U51" s="64"/>
      <c r="V51" s="60"/>
      <c r="W51" s="61"/>
      <c r="X51" s="62"/>
      <c r="Y51" s="63"/>
      <c r="Z51" s="64"/>
      <c r="AA51" s="64"/>
      <c r="AB51" s="53"/>
      <c r="AC51" s="53"/>
      <c r="AD51" s="53"/>
      <c r="AE51" s="58"/>
      <c r="AF51" s="58"/>
      <c r="AG51" s="58"/>
      <c r="AH51" s="57"/>
      <c r="AI51" s="57"/>
      <c r="AJ51" s="57"/>
    </row>
    <row r="52" ht="15.75" customHeight="1">
      <c r="A52" s="36">
        <f t="shared" si="1"/>
        <v>47</v>
      </c>
      <c r="B52" s="17" t="s">
        <v>837</v>
      </c>
      <c r="C52" s="17" t="s">
        <v>835</v>
      </c>
      <c r="D52" s="60"/>
      <c r="E52" s="61"/>
      <c r="F52" s="62"/>
      <c r="G52" s="63"/>
      <c r="H52" s="64"/>
      <c r="I52" s="64"/>
      <c r="J52" s="60"/>
      <c r="K52" s="61"/>
      <c r="L52" s="62"/>
      <c r="M52" s="63"/>
      <c r="N52" s="64"/>
      <c r="O52" s="64"/>
      <c r="P52" s="60"/>
      <c r="Q52" s="61"/>
      <c r="R52" s="62"/>
      <c r="S52" s="63"/>
      <c r="T52" s="64"/>
      <c r="U52" s="64"/>
      <c r="V52" s="60"/>
      <c r="W52" s="61"/>
      <c r="X52" s="62"/>
      <c r="Y52" s="63"/>
      <c r="Z52" s="64"/>
      <c r="AA52" s="64"/>
      <c r="AB52" s="53"/>
      <c r="AC52" s="53"/>
      <c r="AD52" s="53"/>
      <c r="AE52" s="58"/>
      <c r="AF52" s="58"/>
      <c r="AG52" s="58"/>
      <c r="AH52" s="57"/>
      <c r="AI52" s="57"/>
      <c r="AJ52" s="57"/>
    </row>
    <row r="53" ht="15.75" customHeight="1">
      <c r="A53" s="36">
        <f t="shared" si="1"/>
        <v>48</v>
      </c>
      <c r="B53" s="17" t="s">
        <v>837</v>
      </c>
      <c r="C53" s="17" t="s">
        <v>836</v>
      </c>
      <c r="D53" s="60"/>
      <c r="E53" s="61"/>
      <c r="F53" s="62"/>
      <c r="G53" s="63"/>
      <c r="H53" s="64"/>
      <c r="I53" s="64"/>
      <c r="J53" s="60"/>
      <c r="K53" s="61"/>
      <c r="L53" s="62"/>
      <c r="M53" s="63"/>
      <c r="N53" s="64"/>
      <c r="O53" s="64"/>
      <c r="P53" s="60"/>
      <c r="Q53" s="61"/>
      <c r="R53" s="62"/>
      <c r="S53" s="63"/>
      <c r="T53" s="64"/>
      <c r="U53" s="64"/>
      <c r="V53" s="60"/>
      <c r="W53" s="61"/>
      <c r="X53" s="62"/>
      <c r="Y53" s="63"/>
      <c r="Z53" s="64"/>
      <c r="AA53" s="64"/>
      <c r="AB53" s="53"/>
      <c r="AC53" s="53"/>
      <c r="AD53" s="53"/>
      <c r="AE53" s="58"/>
      <c r="AF53" s="58"/>
      <c r="AG53" s="58"/>
      <c r="AH53" s="57"/>
      <c r="AI53" s="57"/>
      <c r="AJ53" s="57"/>
    </row>
    <row r="54" ht="15.75" customHeight="1">
      <c r="A54" s="36">
        <f t="shared" si="1"/>
        <v>49</v>
      </c>
      <c r="B54" s="17" t="s">
        <v>837</v>
      </c>
      <c r="C54" s="17" t="s">
        <v>837</v>
      </c>
      <c r="D54" s="60"/>
      <c r="E54" s="61"/>
      <c r="F54" s="62"/>
      <c r="G54" s="63"/>
      <c r="H54" s="64"/>
      <c r="I54" s="64"/>
      <c r="J54" s="60"/>
      <c r="K54" s="61"/>
      <c r="L54" s="62"/>
      <c r="M54" s="63"/>
      <c r="N54" s="64"/>
      <c r="O54" s="64"/>
      <c r="P54" s="60"/>
      <c r="Q54" s="61"/>
      <c r="R54" s="62"/>
      <c r="S54" s="63"/>
      <c r="T54" s="64"/>
      <c r="U54" s="64"/>
      <c r="V54" s="60"/>
      <c r="W54" s="61"/>
      <c r="X54" s="62"/>
      <c r="Y54" s="63"/>
      <c r="Z54" s="64"/>
      <c r="AA54" s="64"/>
      <c r="AB54" s="53"/>
      <c r="AC54" s="53"/>
      <c r="AD54" s="53"/>
      <c r="AE54" s="58"/>
      <c r="AF54" s="58"/>
      <c r="AG54" s="58"/>
      <c r="AH54" s="57"/>
      <c r="AI54" s="57"/>
      <c r="AJ54" s="57"/>
    </row>
    <row r="55" ht="15.75" customHeight="1">
      <c r="A55" s="36">
        <f t="shared" si="1"/>
        <v>50</v>
      </c>
      <c r="B55" s="2" t="s">
        <v>822</v>
      </c>
      <c r="C55" s="2" t="s">
        <v>441</v>
      </c>
      <c r="D55" s="60"/>
      <c r="E55" s="61"/>
      <c r="F55" s="62"/>
      <c r="G55" s="63"/>
      <c r="H55" s="64"/>
      <c r="I55" s="64"/>
      <c r="J55" s="60"/>
      <c r="K55" s="61"/>
      <c r="L55" s="62"/>
      <c r="M55" s="63"/>
      <c r="N55" s="64"/>
      <c r="O55" s="64"/>
      <c r="P55" s="60"/>
      <c r="Q55" s="61"/>
      <c r="R55" s="62"/>
      <c r="S55" s="63"/>
      <c r="T55" s="64"/>
      <c r="U55" s="64"/>
      <c r="V55" s="60"/>
      <c r="W55" s="61"/>
      <c r="X55" s="62"/>
      <c r="Y55" s="63"/>
      <c r="Z55" s="64"/>
      <c r="AA55" s="64"/>
      <c r="AB55" s="2"/>
      <c r="AC55" s="2"/>
      <c r="AD55" s="2"/>
      <c r="AE55" s="2"/>
      <c r="AF55" s="2"/>
      <c r="AG55" s="2"/>
      <c r="AH55" s="2"/>
      <c r="AI55" s="2"/>
      <c r="AJ55" s="2"/>
    </row>
    <row r="56" ht="14.25" customHeight="1">
      <c r="A56" s="44"/>
      <c r="B56" s="12"/>
      <c r="C56" s="12"/>
      <c r="D56" s="2"/>
      <c r="E56" s="2"/>
      <c r="F56" s="12"/>
      <c r="G56" s="10"/>
      <c r="H56" s="8"/>
      <c r="I56" s="12"/>
      <c r="J56" s="8"/>
      <c r="K56" s="8"/>
      <c r="L56" s="8"/>
      <c r="M56" s="8"/>
      <c r="N56" s="8"/>
      <c r="O56" s="8"/>
      <c r="P56" s="12"/>
      <c r="Q56" s="8"/>
      <c r="R56" s="1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8"/>
      <c r="AI56" s="8"/>
      <c r="AJ56" s="8"/>
    </row>
    <row r="57" ht="14.25" customHeight="1">
      <c r="A57" s="44"/>
      <c r="B57" s="12"/>
      <c r="C57" s="12"/>
      <c r="F57" s="12"/>
      <c r="G57" s="10"/>
      <c r="H57" s="8"/>
      <c r="I57" s="12"/>
      <c r="J57" s="8"/>
      <c r="K57" s="8"/>
      <c r="L57" s="8"/>
      <c r="M57" s="8"/>
      <c r="N57" s="8"/>
      <c r="O57" s="8"/>
      <c r="P57" s="12"/>
      <c r="Q57" s="8"/>
      <c r="R57" s="12"/>
      <c r="T57" s="12"/>
      <c r="AH57" s="8"/>
      <c r="AI57" s="8"/>
      <c r="AJ57" s="8"/>
    </row>
    <row r="58" ht="14.25" customHeight="1">
      <c r="A58" s="44"/>
      <c r="B58" s="12"/>
      <c r="C58" s="12"/>
      <c r="F58" s="12"/>
      <c r="G58" s="10"/>
      <c r="H58" s="8"/>
      <c r="I58" s="12"/>
      <c r="J58" s="8"/>
      <c r="K58" s="8"/>
      <c r="L58" s="8"/>
      <c r="M58" s="8"/>
      <c r="N58" s="8"/>
      <c r="O58" s="8"/>
      <c r="P58" s="12"/>
      <c r="Q58" s="8"/>
      <c r="R58" s="12"/>
      <c r="T58" s="12"/>
      <c r="AH58" s="8"/>
      <c r="AI58" s="8"/>
      <c r="AJ58" s="8"/>
    </row>
    <row r="59" ht="14.25" customHeight="1">
      <c r="A59" s="44"/>
      <c r="B59" s="12"/>
      <c r="C59" s="12"/>
      <c r="F59" s="12"/>
      <c r="G59" s="10"/>
      <c r="H59" s="8"/>
      <c r="I59" s="12"/>
      <c r="J59" s="8"/>
      <c r="K59" s="8"/>
      <c r="L59" s="8"/>
      <c r="M59" s="8"/>
      <c r="N59" s="8"/>
      <c r="O59" s="8"/>
      <c r="P59" s="12"/>
      <c r="Q59" s="8"/>
      <c r="R59" s="12"/>
      <c r="T59" s="12"/>
      <c r="AH59" s="8"/>
      <c r="AI59" s="8"/>
      <c r="AJ59" s="8"/>
    </row>
    <row r="60" ht="14.25" customHeight="1">
      <c r="A60" s="44"/>
      <c r="B60" s="12"/>
      <c r="C60" s="12"/>
      <c r="F60" s="12"/>
      <c r="G60" s="10"/>
      <c r="H60" s="8"/>
      <c r="I60" s="12"/>
      <c r="J60" s="8"/>
      <c r="K60" s="8"/>
      <c r="L60" s="8"/>
      <c r="M60" s="8"/>
      <c r="N60" s="8"/>
      <c r="O60" s="8"/>
      <c r="P60" s="12"/>
      <c r="Q60" s="8"/>
      <c r="R60" s="12"/>
      <c r="T60" s="12"/>
      <c r="AH60" s="8"/>
      <c r="AI60" s="8"/>
      <c r="AJ60" s="8"/>
    </row>
    <row r="61" ht="14.25" customHeight="1">
      <c r="A61" s="44"/>
      <c r="B61" s="12"/>
      <c r="C61" s="12"/>
      <c r="F61" s="12"/>
      <c r="G61" s="10"/>
      <c r="H61" s="8"/>
      <c r="I61" s="12"/>
      <c r="J61" s="8"/>
      <c r="K61" s="8"/>
      <c r="L61" s="8"/>
      <c r="M61" s="8"/>
      <c r="N61" s="8"/>
      <c r="O61" s="8"/>
      <c r="P61" s="12"/>
      <c r="Q61" s="8"/>
      <c r="R61" s="12"/>
      <c r="T61" s="12"/>
      <c r="AH61" s="8"/>
      <c r="AI61" s="8"/>
      <c r="AJ61" s="8"/>
    </row>
    <row r="62" ht="14.25" customHeight="1">
      <c r="A62" s="44"/>
      <c r="B62" s="12"/>
      <c r="C62" s="12"/>
      <c r="F62" s="12"/>
      <c r="G62" s="10"/>
      <c r="H62" s="8"/>
      <c r="I62" s="12"/>
      <c r="J62" s="8"/>
      <c r="K62" s="8"/>
      <c r="L62" s="8"/>
      <c r="M62" s="8"/>
      <c r="N62" s="8"/>
      <c r="O62" s="8"/>
      <c r="P62" s="12"/>
      <c r="Q62" s="8"/>
      <c r="R62" s="12"/>
      <c r="T62" s="12"/>
      <c r="AH62" s="8"/>
      <c r="AI62" s="8"/>
      <c r="AJ62" s="8"/>
    </row>
    <row r="63" ht="14.25" customHeight="1">
      <c r="A63" s="44"/>
      <c r="B63" s="12"/>
      <c r="C63" s="12"/>
      <c r="F63" s="12"/>
      <c r="G63" s="10"/>
      <c r="H63" s="8"/>
      <c r="I63" s="12"/>
      <c r="J63" s="8"/>
      <c r="K63" s="8"/>
      <c r="L63" s="8"/>
      <c r="M63" s="8"/>
      <c r="N63" s="8"/>
      <c r="O63" s="8"/>
      <c r="P63" s="12"/>
      <c r="Q63" s="8"/>
      <c r="R63" s="12"/>
      <c r="T63" s="12"/>
      <c r="AH63" s="8"/>
      <c r="AI63" s="8"/>
      <c r="AJ63" s="8"/>
    </row>
    <row r="64" ht="14.25" customHeight="1">
      <c r="A64" s="44"/>
      <c r="B64" s="12"/>
      <c r="C64" s="12"/>
      <c r="F64" s="12"/>
      <c r="G64" s="10"/>
      <c r="H64" s="8"/>
      <c r="I64" s="12"/>
      <c r="J64" s="8"/>
      <c r="K64" s="8"/>
      <c r="L64" s="8"/>
      <c r="M64" s="8"/>
      <c r="N64" s="8"/>
      <c r="O64" s="8"/>
      <c r="P64" s="12"/>
      <c r="Q64" s="8"/>
      <c r="R64" s="12"/>
      <c r="T64" s="12"/>
      <c r="AH64" s="8"/>
      <c r="AI64" s="8"/>
      <c r="AJ64" s="8"/>
    </row>
    <row r="65" ht="14.25" customHeight="1">
      <c r="A65" s="44"/>
      <c r="B65" s="12"/>
      <c r="C65" s="12"/>
      <c r="F65" s="12"/>
      <c r="G65" s="10"/>
      <c r="H65" s="8"/>
      <c r="I65" s="12"/>
      <c r="J65" s="8"/>
      <c r="K65" s="8"/>
      <c r="L65" s="8"/>
      <c r="M65" s="8"/>
      <c r="N65" s="8"/>
      <c r="O65" s="8"/>
      <c r="P65" s="12"/>
      <c r="Q65" s="8"/>
      <c r="R65" s="12"/>
      <c r="T65" s="12"/>
      <c r="AH65" s="8"/>
      <c r="AI65" s="8"/>
      <c r="AJ65" s="8"/>
    </row>
    <row r="66" ht="14.25" customHeight="1">
      <c r="A66" s="44"/>
      <c r="B66" s="12"/>
      <c r="C66" s="12"/>
      <c r="F66" s="12"/>
      <c r="G66" s="10"/>
      <c r="H66" s="8"/>
      <c r="I66" s="12"/>
      <c r="J66" s="8"/>
      <c r="K66" s="8"/>
      <c r="L66" s="8"/>
      <c r="M66" s="8"/>
      <c r="N66" s="8"/>
      <c r="O66" s="8"/>
      <c r="P66" s="12"/>
      <c r="Q66" s="8"/>
      <c r="R66" s="12"/>
      <c r="T66" s="12"/>
      <c r="AH66" s="8"/>
      <c r="AI66" s="8"/>
      <c r="AJ66" s="8"/>
    </row>
    <row r="67" ht="14.25" customHeight="1">
      <c r="A67" s="44"/>
      <c r="B67" s="12"/>
      <c r="C67" s="12"/>
      <c r="F67" s="12"/>
      <c r="G67" s="10"/>
      <c r="H67" s="8"/>
      <c r="I67" s="12"/>
      <c r="J67" s="8"/>
      <c r="K67" s="8"/>
      <c r="L67" s="8"/>
      <c r="M67" s="8"/>
      <c r="N67" s="8"/>
      <c r="O67" s="8"/>
      <c r="P67" s="12"/>
      <c r="Q67" s="8"/>
      <c r="R67" s="12"/>
      <c r="T67" s="12"/>
      <c r="AH67" s="8"/>
      <c r="AI67" s="8"/>
      <c r="AJ67" s="8"/>
    </row>
    <row r="68" ht="14.25" customHeight="1">
      <c r="A68" s="44"/>
      <c r="B68" s="12"/>
      <c r="C68" s="12"/>
      <c r="F68" s="12"/>
      <c r="G68" s="10"/>
      <c r="H68" s="8"/>
      <c r="I68" s="12"/>
      <c r="J68" s="8"/>
      <c r="K68" s="8"/>
      <c r="L68" s="8"/>
      <c r="M68" s="8"/>
      <c r="N68" s="8"/>
      <c r="O68" s="8"/>
      <c r="P68" s="12"/>
      <c r="Q68" s="8"/>
      <c r="R68" s="12"/>
      <c r="T68" s="12"/>
      <c r="AH68" s="8"/>
      <c r="AI68" s="8"/>
      <c r="AJ68" s="8"/>
    </row>
    <row r="69" ht="14.25" customHeight="1">
      <c r="A69" s="44"/>
      <c r="B69" s="12"/>
      <c r="C69" s="12"/>
      <c r="F69" s="12"/>
      <c r="G69" s="10"/>
      <c r="H69" s="8"/>
      <c r="I69" s="12"/>
      <c r="J69" s="8"/>
      <c r="K69" s="8"/>
      <c r="L69" s="8"/>
      <c r="M69" s="8"/>
      <c r="N69" s="8"/>
      <c r="O69" s="8"/>
      <c r="P69" s="12"/>
      <c r="Q69" s="8"/>
      <c r="R69" s="12"/>
      <c r="T69" s="12"/>
      <c r="AH69" s="8"/>
      <c r="AI69" s="8"/>
      <c r="AJ69" s="8"/>
    </row>
    <row r="70" ht="14.25" customHeight="1">
      <c r="A70" s="44"/>
      <c r="B70" s="12"/>
      <c r="C70" s="12"/>
      <c r="F70" s="12"/>
      <c r="G70" s="10"/>
      <c r="H70" s="8"/>
      <c r="I70" s="12"/>
      <c r="J70" s="8"/>
      <c r="K70" s="8"/>
      <c r="L70" s="8"/>
      <c r="M70" s="8"/>
      <c r="N70" s="8"/>
      <c r="O70" s="8"/>
      <c r="P70" s="12"/>
      <c r="Q70" s="8"/>
      <c r="R70" s="12"/>
      <c r="T70" s="12"/>
      <c r="AH70" s="8"/>
      <c r="AI70" s="8"/>
      <c r="AJ70" s="8"/>
    </row>
    <row r="71" ht="14.25" customHeight="1">
      <c r="A71" s="44"/>
      <c r="B71" s="12"/>
      <c r="C71" s="12"/>
      <c r="F71" s="12"/>
      <c r="G71" s="10"/>
      <c r="H71" s="8"/>
      <c r="I71" s="12"/>
      <c r="J71" s="8"/>
      <c r="K71" s="8"/>
      <c r="L71" s="8"/>
      <c r="M71" s="8"/>
      <c r="N71" s="8"/>
      <c r="O71" s="8"/>
      <c r="P71" s="12"/>
      <c r="Q71" s="8"/>
      <c r="R71" s="12"/>
      <c r="T71" s="12"/>
      <c r="AH71" s="8"/>
      <c r="AI71" s="8"/>
      <c r="AJ71" s="8"/>
    </row>
    <row r="72" ht="14.25" customHeight="1">
      <c r="A72" s="44"/>
      <c r="B72" s="12"/>
      <c r="C72" s="12"/>
      <c r="F72" s="12"/>
      <c r="G72" s="10"/>
      <c r="H72" s="8"/>
      <c r="I72" s="12"/>
      <c r="J72" s="8"/>
      <c r="K72" s="8"/>
      <c r="L72" s="8"/>
      <c r="M72" s="8"/>
      <c r="N72" s="8"/>
      <c r="O72" s="8"/>
      <c r="P72" s="12"/>
      <c r="Q72" s="8"/>
      <c r="R72" s="12"/>
      <c r="T72" s="12"/>
      <c r="AH72" s="8"/>
      <c r="AI72" s="8"/>
      <c r="AJ72" s="8"/>
    </row>
    <row r="73" ht="14.25" customHeight="1">
      <c r="A73" s="44"/>
      <c r="B73" s="12"/>
      <c r="C73" s="12"/>
      <c r="F73" s="12"/>
      <c r="G73" s="10"/>
      <c r="H73" s="8"/>
      <c r="I73" s="12"/>
      <c r="J73" s="8"/>
      <c r="K73" s="8"/>
      <c r="L73" s="8"/>
      <c r="M73" s="8"/>
      <c r="N73" s="8"/>
      <c r="O73" s="8"/>
      <c r="P73" s="12"/>
      <c r="Q73" s="8"/>
      <c r="R73" s="12"/>
      <c r="T73" s="12"/>
      <c r="AH73" s="8"/>
      <c r="AI73" s="8"/>
      <c r="AJ73" s="8"/>
    </row>
    <row r="74" ht="14.25" customHeight="1">
      <c r="A74" s="44"/>
      <c r="B74" s="12"/>
      <c r="C74" s="12"/>
      <c r="F74" s="12"/>
      <c r="G74" s="10"/>
      <c r="H74" s="8"/>
      <c r="I74" s="12"/>
      <c r="J74" s="8"/>
      <c r="K74" s="8"/>
      <c r="L74" s="8"/>
      <c r="M74" s="8"/>
      <c r="N74" s="8"/>
      <c r="O74" s="8"/>
      <c r="P74" s="12"/>
      <c r="Q74" s="8"/>
      <c r="R74" s="12"/>
      <c r="T74" s="12"/>
      <c r="AH74" s="8"/>
      <c r="AI74" s="8"/>
      <c r="AJ74" s="8"/>
    </row>
    <row r="75" ht="14.25" customHeight="1">
      <c r="A75" s="44"/>
      <c r="B75" s="12"/>
      <c r="C75" s="12"/>
      <c r="F75" s="12"/>
      <c r="G75" s="10"/>
      <c r="H75" s="8"/>
      <c r="I75" s="12"/>
      <c r="J75" s="8"/>
      <c r="K75" s="8"/>
      <c r="L75" s="8"/>
      <c r="M75" s="8"/>
      <c r="N75" s="8"/>
      <c r="O75" s="8"/>
      <c r="P75" s="12"/>
      <c r="Q75" s="8"/>
      <c r="R75" s="12"/>
      <c r="T75" s="12"/>
      <c r="AH75" s="8"/>
      <c r="AI75" s="8"/>
      <c r="AJ75" s="8"/>
    </row>
    <row r="76" ht="14.25" customHeight="1">
      <c r="A76" s="44"/>
      <c r="B76" s="12"/>
      <c r="C76" s="12"/>
      <c r="F76" s="12"/>
      <c r="G76" s="10"/>
      <c r="H76" s="8"/>
      <c r="I76" s="12"/>
      <c r="J76" s="8"/>
      <c r="K76" s="8"/>
      <c r="L76" s="8"/>
      <c r="M76" s="8"/>
      <c r="N76" s="8"/>
      <c r="O76" s="8"/>
      <c r="P76" s="12"/>
      <c r="Q76" s="8"/>
      <c r="R76" s="12"/>
      <c r="T76" s="12"/>
      <c r="AH76" s="8"/>
      <c r="AI76" s="8"/>
      <c r="AJ76" s="8"/>
    </row>
    <row r="77" ht="14.25" customHeight="1">
      <c r="A77" s="44"/>
      <c r="B77" s="12"/>
      <c r="C77" s="12"/>
      <c r="F77" s="12"/>
      <c r="G77" s="10"/>
      <c r="H77" s="8"/>
      <c r="I77" s="12"/>
      <c r="J77" s="8"/>
      <c r="K77" s="8"/>
      <c r="L77" s="8"/>
      <c r="M77" s="8"/>
      <c r="N77" s="8"/>
      <c r="O77" s="8"/>
      <c r="P77" s="12"/>
      <c r="Q77" s="8"/>
      <c r="R77" s="12"/>
      <c r="T77" s="12"/>
      <c r="AH77" s="8"/>
      <c r="AI77" s="8"/>
      <c r="AJ77" s="8"/>
    </row>
    <row r="78" ht="14.25" customHeight="1">
      <c r="A78" s="44"/>
      <c r="B78" s="12"/>
      <c r="C78" s="12"/>
      <c r="F78" s="12"/>
      <c r="G78" s="10"/>
      <c r="H78" s="8"/>
      <c r="I78" s="12"/>
      <c r="J78" s="8"/>
      <c r="K78" s="8"/>
      <c r="L78" s="8"/>
      <c r="M78" s="8"/>
      <c r="N78" s="8"/>
      <c r="O78" s="8"/>
      <c r="P78" s="12"/>
      <c r="Q78" s="8"/>
      <c r="R78" s="12"/>
      <c r="T78" s="12"/>
      <c r="AH78" s="8"/>
      <c r="AI78" s="8"/>
      <c r="AJ78" s="8"/>
    </row>
    <row r="79" ht="14.25" customHeight="1">
      <c r="A79" s="44"/>
      <c r="B79" s="12"/>
      <c r="C79" s="12"/>
      <c r="F79" s="12"/>
      <c r="G79" s="10"/>
      <c r="H79" s="8"/>
      <c r="I79" s="12"/>
      <c r="J79" s="8"/>
      <c r="K79" s="8"/>
      <c r="L79" s="8"/>
      <c r="M79" s="8"/>
      <c r="N79" s="8"/>
      <c r="O79" s="8"/>
      <c r="P79" s="12"/>
      <c r="Q79" s="8"/>
      <c r="R79" s="12"/>
      <c r="T79" s="12"/>
      <c r="AH79" s="8"/>
      <c r="AI79" s="8"/>
      <c r="AJ79" s="8"/>
    </row>
    <row r="80" ht="14.25" customHeight="1">
      <c r="A80" s="44"/>
      <c r="B80" s="12"/>
      <c r="C80" s="12"/>
      <c r="F80" s="12"/>
      <c r="G80" s="10"/>
      <c r="H80" s="8"/>
      <c r="I80" s="12"/>
      <c r="J80" s="8"/>
      <c r="K80" s="8"/>
      <c r="L80" s="8"/>
      <c r="M80" s="8"/>
      <c r="N80" s="8"/>
      <c r="O80" s="8"/>
      <c r="P80" s="12"/>
      <c r="Q80" s="8"/>
      <c r="R80" s="12"/>
      <c r="T80" s="12"/>
      <c r="AH80" s="8"/>
      <c r="AI80" s="8"/>
      <c r="AJ80" s="8"/>
    </row>
    <row r="81" ht="14.25" customHeight="1">
      <c r="A81" s="44"/>
      <c r="B81" s="12"/>
      <c r="C81" s="12"/>
      <c r="F81" s="12"/>
      <c r="G81" s="10"/>
      <c r="H81" s="8"/>
      <c r="I81" s="12"/>
      <c r="J81" s="8"/>
      <c r="K81" s="8"/>
      <c r="L81" s="8"/>
      <c r="M81" s="8"/>
      <c r="N81" s="8"/>
      <c r="O81" s="8"/>
      <c r="P81" s="12"/>
      <c r="Q81" s="8"/>
      <c r="R81" s="12"/>
      <c r="T81" s="12"/>
      <c r="AH81" s="8"/>
      <c r="AI81" s="8"/>
      <c r="AJ81" s="8"/>
    </row>
    <row r="82" ht="14.25" customHeight="1">
      <c r="A82" s="44"/>
      <c r="B82" s="12"/>
      <c r="C82" s="12"/>
      <c r="F82" s="12"/>
      <c r="G82" s="10"/>
      <c r="H82" s="8"/>
      <c r="I82" s="12"/>
      <c r="J82" s="8"/>
      <c r="K82" s="8"/>
      <c r="L82" s="8"/>
      <c r="M82" s="8"/>
      <c r="N82" s="8"/>
      <c r="O82" s="8"/>
      <c r="P82" s="12"/>
      <c r="Q82" s="8"/>
      <c r="R82" s="12"/>
      <c r="T82" s="12"/>
      <c r="AH82" s="8"/>
      <c r="AI82" s="8"/>
      <c r="AJ82" s="8"/>
    </row>
    <row r="83" ht="14.25" customHeight="1">
      <c r="A83" s="44"/>
      <c r="B83" s="12"/>
      <c r="C83" s="12"/>
      <c r="F83" s="12"/>
      <c r="G83" s="10"/>
      <c r="H83" s="8"/>
      <c r="I83" s="12"/>
      <c r="J83" s="8"/>
      <c r="K83" s="8"/>
      <c r="L83" s="8"/>
      <c r="M83" s="8"/>
      <c r="N83" s="8"/>
      <c r="O83" s="8"/>
      <c r="P83" s="12"/>
      <c r="Q83" s="8"/>
      <c r="R83" s="12"/>
      <c r="T83" s="12"/>
      <c r="AH83" s="8"/>
      <c r="AI83" s="8"/>
      <c r="AJ83" s="8"/>
    </row>
    <row r="84" ht="14.25" customHeight="1">
      <c r="A84" s="44"/>
      <c r="B84" s="12"/>
      <c r="C84" s="12"/>
      <c r="F84" s="12"/>
      <c r="G84" s="10"/>
      <c r="H84" s="8"/>
      <c r="I84" s="12"/>
      <c r="J84" s="8"/>
      <c r="K84" s="8"/>
      <c r="L84" s="8"/>
      <c r="M84" s="8"/>
      <c r="N84" s="8"/>
      <c r="O84" s="8"/>
      <c r="P84" s="12"/>
      <c r="Q84" s="8"/>
      <c r="R84" s="12"/>
      <c r="T84" s="12"/>
      <c r="AH84" s="8"/>
      <c r="AI84" s="8"/>
      <c r="AJ84" s="8"/>
    </row>
    <row r="85" ht="14.25" customHeight="1">
      <c r="A85" s="44"/>
      <c r="B85" s="12"/>
      <c r="C85" s="12"/>
      <c r="F85" s="12"/>
      <c r="G85" s="10"/>
      <c r="H85" s="8"/>
      <c r="I85" s="12"/>
      <c r="J85" s="8"/>
      <c r="K85" s="8"/>
      <c r="L85" s="8"/>
      <c r="M85" s="8"/>
      <c r="N85" s="8"/>
      <c r="O85" s="8"/>
      <c r="P85" s="12"/>
      <c r="Q85" s="8"/>
      <c r="R85" s="12"/>
      <c r="T85" s="12"/>
      <c r="AH85" s="8"/>
      <c r="AI85" s="8"/>
      <c r="AJ85" s="8"/>
    </row>
    <row r="86" ht="14.25" customHeight="1">
      <c r="A86" s="44"/>
      <c r="B86" s="12"/>
      <c r="C86" s="12"/>
      <c r="F86" s="12"/>
      <c r="G86" s="10"/>
      <c r="H86" s="8"/>
      <c r="I86" s="12"/>
      <c r="J86" s="8"/>
      <c r="K86" s="8"/>
      <c r="L86" s="8"/>
      <c r="M86" s="8"/>
      <c r="N86" s="8"/>
      <c r="O86" s="8"/>
      <c r="P86" s="12"/>
      <c r="Q86" s="8"/>
      <c r="R86" s="12"/>
      <c r="T86" s="12"/>
      <c r="AH86" s="8"/>
      <c r="AI86" s="8"/>
      <c r="AJ86" s="8"/>
    </row>
    <row r="87" ht="14.25" customHeight="1">
      <c r="A87" s="44"/>
      <c r="B87" s="12"/>
      <c r="C87" s="12"/>
      <c r="F87" s="12"/>
      <c r="G87" s="10"/>
      <c r="H87" s="8"/>
      <c r="I87" s="12"/>
      <c r="J87" s="8"/>
      <c r="K87" s="8"/>
      <c r="L87" s="8"/>
      <c r="M87" s="8"/>
      <c r="N87" s="8"/>
      <c r="O87" s="8"/>
      <c r="P87" s="12"/>
      <c r="Q87" s="8"/>
      <c r="R87" s="12"/>
      <c r="T87" s="12"/>
      <c r="AH87" s="8"/>
      <c r="AI87" s="8"/>
      <c r="AJ87" s="8"/>
    </row>
    <row r="88" ht="14.25" customHeight="1">
      <c r="A88" s="44"/>
      <c r="B88" s="12"/>
      <c r="C88" s="12"/>
      <c r="F88" s="12"/>
      <c r="G88" s="10"/>
      <c r="H88" s="8"/>
      <c r="I88" s="12"/>
      <c r="J88" s="8"/>
      <c r="K88" s="8"/>
      <c r="L88" s="8"/>
      <c r="M88" s="8"/>
      <c r="N88" s="8"/>
      <c r="O88" s="8"/>
      <c r="P88" s="12"/>
      <c r="Q88" s="8"/>
      <c r="R88" s="12"/>
      <c r="T88" s="12"/>
      <c r="AH88" s="8"/>
      <c r="AI88" s="8"/>
      <c r="AJ88" s="8"/>
    </row>
    <row r="89" ht="14.25" customHeight="1">
      <c r="A89" s="44"/>
      <c r="B89" s="12"/>
      <c r="C89" s="12"/>
      <c r="F89" s="12"/>
      <c r="G89" s="10"/>
      <c r="H89" s="8"/>
      <c r="I89" s="12"/>
      <c r="J89" s="8"/>
      <c r="K89" s="8"/>
      <c r="L89" s="8"/>
      <c r="M89" s="8"/>
      <c r="N89" s="8"/>
      <c r="O89" s="8"/>
      <c r="P89" s="12"/>
      <c r="Q89" s="8"/>
      <c r="R89" s="12"/>
      <c r="T89" s="12"/>
      <c r="AH89" s="8"/>
      <c r="AI89" s="8"/>
      <c r="AJ89" s="8"/>
    </row>
    <row r="90" ht="14.25" customHeight="1">
      <c r="A90" s="44"/>
      <c r="B90" s="12"/>
      <c r="C90" s="12"/>
      <c r="F90" s="12"/>
      <c r="G90" s="10"/>
      <c r="H90" s="8"/>
      <c r="I90" s="12"/>
      <c r="J90" s="8"/>
      <c r="K90" s="8"/>
      <c r="L90" s="8"/>
      <c r="M90" s="8"/>
      <c r="N90" s="8"/>
      <c r="O90" s="8"/>
      <c r="P90" s="12"/>
      <c r="Q90" s="8"/>
      <c r="R90" s="12"/>
      <c r="T90" s="12"/>
      <c r="AH90" s="8"/>
      <c r="AI90" s="8"/>
      <c r="AJ90" s="8"/>
    </row>
    <row r="91" ht="14.25" customHeight="1">
      <c r="A91" s="44"/>
      <c r="B91" s="12"/>
      <c r="C91" s="12"/>
      <c r="F91" s="12"/>
      <c r="G91" s="10"/>
      <c r="H91" s="8"/>
      <c r="I91" s="12"/>
      <c r="J91" s="8"/>
      <c r="K91" s="8"/>
      <c r="L91" s="8"/>
      <c r="M91" s="8"/>
      <c r="N91" s="8"/>
      <c r="O91" s="8"/>
      <c r="P91" s="12"/>
      <c r="Q91" s="8"/>
      <c r="R91" s="12"/>
      <c r="T91" s="12"/>
      <c r="AH91" s="8"/>
      <c r="AI91" s="8"/>
      <c r="AJ91" s="8"/>
    </row>
    <row r="92" ht="14.25" customHeight="1">
      <c r="A92" s="44"/>
      <c r="B92" s="12"/>
      <c r="C92" s="12"/>
      <c r="F92" s="12"/>
      <c r="G92" s="10"/>
      <c r="H92" s="8"/>
      <c r="I92" s="12"/>
      <c r="J92" s="8"/>
      <c r="K92" s="8"/>
      <c r="L92" s="8"/>
      <c r="M92" s="8"/>
      <c r="N92" s="8"/>
      <c r="O92" s="8"/>
      <c r="P92" s="12"/>
      <c r="Q92" s="8"/>
      <c r="R92" s="12"/>
      <c r="T92" s="12"/>
      <c r="AH92" s="8"/>
      <c r="AI92" s="8"/>
      <c r="AJ92" s="8"/>
    </row>
    <row r="93" ht="14.25" customHeight="1">
      <c r="A93" s="44"/>
      <c r="B93" s="12"/>
      <c r="C93" s="12"/>
      <c r="F93" s="12"/>
      <c r="G93" s="10"/>
      <c r="H93" s="8"/>
      <c r="I93" s="12"/>
      <c r="J93" s="8"/>
      <c r="K93" s="8"/>
      <c r="L93" s="8"/>
      <c r="M93" s="8"/>
      <c r="N93" s="8"/>
      <c r="O93" s="8"/>
      <c r="P93" s="12"/>
      <c r="Q93" s="8"/>
      <c r="R93" s="12"/>
      <c r="T93" s="12"/>
      <c r="AH93" s="8"/>
      <c r="AI93" s="8"/>
      <c r="AJ93" s="8"/>
    </row>
    <row r="94" ht="14.25" customHeight="1">
      <c r="A94" s="44"/>
      <c r="B94" s="12"/>
      <c r="C94" s="12"/>
      <c r="F94" s="12"/>
      <c r="G94" s="10"/>
      <c r="H94" s="8"/>
      <c r="I94" s="12"/>
      <c r="J94" s="8"/>
      <c r="K94" s="8"/>
      <c r="L94" s="8"/>
      <c r="M94" s="8"/>
      <c r="N94" s="8"/>
      <c r="O94" s="8"/>
      <c r="P94" s="12"/>
      <c r="Q94" s="8"/>
      <c r="R94" s="12"/>
      <c r="T94" s="12"/>
      <c r="AH94" s="8"/>
      <c r="AI94" s="8"/>
      <c r="AJ94" s="8"/>
    </row>
    <row r="95" ht="14.25" customHeight="1">
      <c r="A95" s="44"/>
      <c r="B95" s="12"/>
      <c r="C95" s="12"/>
      <c r="F95" s="12"/>
      <c r="G95" s="10"/>
      <c r="H95" s="8"/>
      <c r="I95" s="12"/>
      <c r="J95" s="8"/>
      <c r="K95" s="8"/>
      <c r="L95" s="8"/>
      <c r="M95" s="8"/>
      <c r="N95" s="8"/>
      <c r="O95" s="8"/>
      <c r="P95" s="12"/>
      <c r="Q95" s="8"/>
      <c r="R95" s="12"/>
      <c r="T95" s="12"/>
      <c r="AH95" s="8"/>
      <c r="AI95" s="8"/>
      <c r="AJ95" s="8"/>
    </row>
    <row r="96" ht="14.25" customHeight="1">
      <c r="A96" s="44"/>
      <c r="B96" s="12"/>
      <c r="C96" s="12"/>
      <c r="F96" s="12"/>
      <c r="G96" s="10"/>
      <c r="H96" s="8"/>
      <c r="I96" s="12"/>
      <c r="J96" s="8"/>
      <c r="K96" s="8"/>
      <c r="L96" s="8"/>
      <c r="M96" s="8"/>
      <c r="N96" s="8"/>
      <c r="O96" s="8"/>
      <c r="P96" s="12"/>
      <c r="Q96" s="8"/>
      <c r="R96" s="12"/>
      <c r="T96" s="12"/>
      <c r="AH96" s="8"/>
      <c r="AI96" s="8"/>
      <c r="AJ96" s="8"/>
    </row>
    <row r="97" ht="14.25" customHeight="1">
      <c r="A97" s="44"/>
      <c r="B97" s="12"/>
      <c r="C97" s="12"/>
      <c r="F97" s="12"/>
      <c r="G97" s="10"/>
      <c r="H97" s="8"/>
      <c r="I97" s="12"/>
      <c r="J97" s="8"/>
      <c r="K97" s="8"/>
      <c r="L97" s="8"/>
      <c r="M97" s="8"/>
      <c r="N97" s="8"/>
      <c r="O97" s="8"/>
      <c r="P97" s="12"/>
      <c r="Q97" s="8"/>
      <c r="R97" s="12"/>
      <c r="T97" s="12"/>
      <c r="AH97" s="8"/>
      <c r="AI97" s="8"/>
      <c r="AJ97" s="8"/>
    </row>
    <row r="98" ht="14.25" customHeight="1">
      <c r="A98" s="44"/>
      <c r="B98" s="12"/>
      <c r="C98" s="12"/>
      <c r="F98" s="12"/>
      <c r="G98" s="10"/>
      <c r="H98" s="8"/>
      <c r="I98" s="12"/>
      <c r="J98" s="8"/>
      <c r="K98" s="8"/>
      <c r="L98" s="8"/>
      <c r="M98" s="8"/>
      <c r="N98" s="8"/>
      <c r="O98" s="8"/>
      <c r="P98" s="12"/>
      <c r="Q98" s="8"/>
      <c r="R98" s="12"/>
      <c r="T98" s="12"/>
      <c r="AH98" s="8"/>
      <c r="AI98" s="8"/>
      <c r="AJ98" s="8"/>
    </row>
    <row r="99" ht="14.25" customHeight="1">
      <c r="A99" s="44"/>
      <c r="B99" s="12"/>
      <c r="C99" s="12"/>
      <c r="F99" s="12"/>
      <c r="G99" s="10"/>
      <c r="H99" s="8"/>
      <c r="I99" s="12"/>
      <c r="J99" s="8"/>
      <c r="K99" s="8"/>
      <c r="L99" s="8"/>
      <c r="M99" s="8"/>
      <c r="N99" s="8"/>
      <c r="O99" s="8"/>
      <c r="P99" s="12"/>
      <c r="Q99" s="8"/>
      <c r="R99" s="12"/>
      <c r="T99" s="12"/>
      <c r="AH99" s="8"/>
      <c r="AI99" s="8"/>
      <c r="AJ99" s="8"/>
    </row>
    <row r="100" ht="14.25" customHeight="1">
      <c r="A100" s="44"/>
      <c r="B100" s="12"/>
      <c r="C100" s="12"/>
      <c r="F100" s="12"/>
      <c r="G100" s="10"/>
      <c r="H100" s="8"/>
      <c r="I100" s="12"/>
      <c r="J100" s="8"/>
      <c r="K100" s="8"/>
      <c r="L100" s="8"/>
      <c r="M100" s="8"/>
      <c r="N100" s="8"/>
      <c r="O100" s="8"/>
      <c r="P100" s="12"/>
      <c r="Q100" s="8"/>
      <c r="R100" s="12"/>
      <c r="T100" s="12"/>
      <c r="AH100" s="8"/>
      <c r="AI100" s="8"/>
      <c r="AJ100" s="8"/>
    </row>
    <row r="101" ht="14.25" customHeight="1">
      <c r="A101" s="44"/>
      <c r="B101" s="12"/>
      <c r="C101" s="12"/>
      <c r="F101" s="12"/>
      <c r="G101" s="10"/>
      <c r="H101" s="8"/>
      <c r="I101" s="12"/>
      <c r="J101" s="8"/>
      <c r="K101" s="8"/>
      <c r="L101" s="8"/>
      <c r="M101" s="8"/>
      <c r="N101" s="8"/>
      <c r="O101" s="8"/>
      <c r="P101" s="12"/>
      <c r="Q101" s="8"/>
      <c r="R101" s="12"/>
      <c r="T101" s="12"/>
      <c r="AH101" s="8"/>
      <c r="AI101" s="8"/>
      <c r="AJ101" s="8"/>
    </row>
    <row r="102" ht="14.25" customHeight="1">
      <c r="A102" s="44"/>
      <c r="B102" s="12"/>
      <c r="C102" s="12"/>
      <c r="F102" s="12"/>
      <c r="G102" s="10"/>
      <c r="H102" s="8"/>
      <c r="I102" s="12"/>
      <c r="J102" s="8"/>
      <c r="K102" s="8"/>
      <c r="L102" s="8"/>
      <c r="M102" s="8"/>
      <c r="N102" s="8"/>
      <c r="O102" s="8"/>
      <c r="P102" s="12"/>
      <c r="Q102" s="8"/>
      <c r="R102" s="12"/>
      <c r="T102" s="12"/>
      <c r="AH102" s="8"/>
      <c r="AI102" s="8"/>
      <c r="AJ102" s="8"/>
    </row>
    <row r="103" ht="14.25" customHeight="1">
      <c r="A103" s="44"/>
      <c r="B103" s="12"/>
      <c r="C103" s="12"/>
      <c r="F103" s="12"/>
      <c r="G103" s="10"/>
      <c r="H103" s="8"/>
      <c r="I103" s="12"/>
      <c r="J103" s="8"/>
      <c r="K103" s="8"/>
      <c r="L103" s="8"/>
      <c r="M103" s="8"/>
      <c r="N103" s="8"/>
      <c r="O103" s="8"/>
      <c r="P103" s="12"/>
      <c r="Q103" s="8"/>
      <c r="R103" s="12"/>
      <c r="T103" s="12"/>
      <c r="AH103" s="8"/>
      <c r="AI103" s="8"/>
      <c r="AJ103" s="8"/>
    </row>
    <row r="104" ht="14.25" customHeight="1">
      <c r="A104" s="44"/>
      <c r="B104" s="12"/>
      <c r="C104" s="12"/>
      <c r="F104" s="12"/>
      <c r="G104" s="10"/>
      <c r="H104" s="8"/>
      <c r="I104" s="12"/>
      <c r="J104" s="8"/>
      <c r="K104" s="8"/>
      <c r="L104" s="8"/>
      <c r="M104" s="8"/>
      <c r="N104" s="8"/>
      <c r="O104" s="8"/>
      <c r="P104" s="12"/>
      <c r="Q104" s="8"/>
      <c r="R104" s="12"/>
      <c r="T104" s="12"/>
      <c r="AH104" s="8"/>
      <c r="AI104" s="8"/>
      <c r="AJ104" s="8"/>
    </row>
    <row r="105" ht="14.25" customHeight="1">
      <c r="A105" s="44"/>
      <c r="B105" s="12"/>
      <c r="C105" s="12"/>
      <c r="F105" s="12"/>
      <c r="G105" s="10"/>
      <c r="H105" s="8"/>
      <c r="I105" s="12"/>
      <c r="J105" s="8"/>
      <c r="K105" s="8"/>
      <c r="L105" s="8"/>
      <c r="M105" s="8"/>
      <c r="N105" s="8"/>
      <c r="O105" s="8"/>
      <c r="P105" s="12"/>
      <c r="Q105" s="8"/>
      <c r="R105" s="12"/>
      <c r="T105" s="12"/>
      <c r="AH105" s="8"/>
      <c r="AI105" s="8"/>
      <c r="AJ105" s="8"/>
    </row>
    <row r="106" ht="14.25" customHeight="1">
      <c r="A106" s="44"/>
      <c r="B106" s="12"/>
      <c r="C106" s="12"/>
      <c r="D106" s="12"/>
      <c r="E106" s="12"/>
      <c r="F106" s="12"/>
      <c r="G106" s="10"/>
      <c r="H106" s="8"/>
      <c r="I106" s="12"/>
      <c r="J106" s="8"/>
      <c r="K106" s="8"/>
      <c r="L106" s="8"/>
      <c r="M106" s="8"/>
      <c r="N106" s="8"/>
      <c r="O106" s="8"/>
      <c r="P106" s="12"/>
      <c r="Q106" s="8"/>
      <c r="R106" s="12"/>
      <c r="T106" s="12"/>
      <c r="AH106" s="8"/>
      <c r="AI106" s="8"/>
      <c r="AJ106" s="8"/>
    </row>
    <row r="107" ht="14.25" customHeight="1">
      <c r="A107" s="44"/>
      <c r="B107" s="12"/>
      <c r="C107" s="12"/>
      <c r="D107" s="12"/>
      <c r="E107" s="12"/>
      <c r="F107" s="12"/>
      <c r="G107" s="10"/>
      <c r="H107" s="8"/>
      <c r="I107" s="12"/>
      <c r="J107" s="8"/>
      <c r="K107" s="8"/>
      <c r="L107" s="8"/>
      <c r="M107" s="8"/>
      <c r="N107" s="8"/>
      <c r="O107" s="8"/>
      <c r="P107" s="12"/>
      <c r="Q107" s="8"/>
      <c r="R107" s="12"/>
      <c r="T107" s="12"/>
      <c r="AH107" s="8"/>
      <c r="AI107" s="8"/>
      <c r="AJ107" s="8"/>
    </row>
    <row r="108" ht="14.25" customHeight="1">
      <c r="A108" s="44"/>
      <c r="B108" s="12"/>
      <c r="C108" s="12"/>
      <c r="D108" s="12"/>
      <c r="E108" s="12"/>
      <c r="F108" s="12"/>
      <c r="G108" s="10"/>
      <c r="H108" s="8"/>
      <c r="I108" s="12"/>
      <c r="J108" s="8"/>
      <c r="K108" s="8"/>
      <c r="L108" s="8"/>
      <c r="M108" s="8"/>
      <c r="N108" s="8"/>
      <c r="O108" s="8"/>
      <c r="P108" s="12"/>
      <c r="Q108" s="8"/>
      <c r="R108" s="12"/>
      <c r="T108" s="12"/>
      <c r="AH108" s="8"/>
      <c r="AI108" s="8"/>
      <c r="AJ108" s="8"/>
    </row>
    <row r="109" ht="14.25" customHeight="1">
      <c r="A109" s="44"/>
      <c r="B109" s="12"/>
      <c r="C109" s="12"/>
      <c r="D109" s="12"/>
      <c r="E109" s="12"/>
      <c r="F109" s="12"/>
      <c r="G109" s="10"/>
      <c r="H109" s="8"/>
      <c r="I109" s="12"/>
      <c r="J109" s="8"/>
      <c r="K109" s="8"/>
      <c r="L109" s="8"/>
      <c r="M109" s="8"/>
      <c r="N109" s="8"/>
      <c r="O109" s="8"/>
      <c r="P109" s="12"/>
      <c r="Q109" s="8"/>
      <c r="R109" s="12"/>
      <c r="T109" s="12"/>
      <c r="AH109" s="8"/>
      <c r="AI109" s="8"/>
      <c r="AJ109" s="8"/>
    </row>
    <row r="110" ht="14.25" customHeight="1">
      <c r="A110" s="44"/>
      <c r="B110" s="12"/>
      <c r="C110" s="12"/>
      <c r="D110" s="12"/>
      <c r="E110" s="12"/>
      <c r="F110" s="12"/>
      <c r="G110" s="10"/>
      <c r="H110" s="8"/>
      <c r="I110" s="12"/>
      <c r="J110" s="8"/>
      <c r="K110" s="8"/>
      <c r="L110" s="8"/>
      <c r="M110" s="8"/>
      <c r="N110" s="8"/>
      <c r="O110" s="8"/>
      <c r="P110" s="12"/>
      <c r="Q110" s="8"/>
      <c r="R110" s="12"/>
      <c r="T110" s="12"/>
      <c r="AH110" s="8"/>
      <c r="AI110" s="8"/>
      <c r="AJ110" s="8"/>
    </row>
    <row r="111" ht="14.25" customHeight="1">
      <c r="A111" s="44"/>
      <c r="B111" s="12"/>
      <c r="C111" s="12"/>
      <c r="D111" s="12"/>
      <c r="E111" s="12"/>
      <c r="F111" s="12"/>
      <c r="G111" s="10"/>
      <c r="H111" s="8"/>
      <c r="I111" s="12"/>
      <c r="J111" s="8"/>
      <c r="K111" s="8"/>
      <c r="L111" s="8"/>
      <c r="M111" s="8"/>
      <c r="N111" s="8"/>
      <c r="O111" s="8"/>
      <c r="P111" s="12"/>
      <c r="Q111" s="8"/>
      <c r="R111" s="12"/>
      <c r="T111" s="12"/>
      <c r="AH111" s="8"/>
      <c r="AI111" s="8"/>
      <c r="AJ111" s="8"/>
    </row>
    <row r="112" ht="14.25" customHeight="1">
      <c r="A112" s="44"/>
      <c r="B112" s="12"/>
      <c r="C112" s="12"/>
      <c r="D112" s="12"/>
      <c r="E112" s="12"/>
      <c r="F112" s="12"/>
      <c r="G112" s="10"/>
      <c r="H112" s="8"/>
      <c r="I112" s="12"/>
      <c r="J112" s="8"/>
      <c r="K112" s="8"/>
      <c r="L112" s="8"/>
      <c r="M112" s="8"/>
      <c r="N112" s="8"/>
      <c r="O112" s="8"/>
      <c r="P112" s="12"/>
      <c r="Q112" s="8"/>
      <c r="R112" s="12"/>
      <c r="T112" s="12"/>
      <c r="AH112" s="8"/>
      <c r="AI112" s="8"/>
      <c r="AJ112" s="8"/>
    </row>
    <row r="113" ht="14.25" customHeight="1">
      <c r="A113" s="44"/>
      <c r="B113" s="12"/>
      <c r="C113" s="12"/>
      <c r="D113" s="12"/>
      <c r="E113" s="12"/>
      <c r="F113" s="12"/>
      <c r="G113" s="10"/>
      <c r="H113" s="8"/>
      <c r="I113" s="12"/>
      <c r="J113" s="8"/>
      <c r="K113" s="8"/>
      <c r="L113" s="8"/>
      <c r="M113" s="8"/>
      <c r="N113" s="8"/>
      <c r="O113" s="8"/>
      <c r="P113" s="12"/>
      <c r="Q113" s="8"/>
      <c r="R113" s="12"/>
      <c r="T113" s="12"/>
      <c r="AH113" s="8"/>
      <c r="AI113" s="8"/>
      <c r="AJ113" s="8"/>
    </row>
    <row r="114" ht="14.25" customHeight="1">
      <c r="A114" s="44"/>
      <c r="B114" s="12"/>
      <c r="C114" s="12"/>
      <c r="D114" s="12"/>
      <c r="E114" s="12"/>
      <c r="F114" s="12"/>
      <c r="G114" s="10"/>
      <c r="H114" s="8"/>
      <c r="I114" s="12"/>
      <c r="J114" s="8"/>
      <c r="K114" s="8"/>
      <c r="L114" s="8"/>
      <c r="M114" s="8"/>
      <c r="N114" s="8"/>
      <c r="O114" s="8"/>
      <c r="P114" s="12"/>
      <c r="Q114" s="8"/>
      <c r="R114" s="12"/>
      <c r="T114" s="12"/>
      <c r="AH114" s="8"/>
      <c r="AI114" s="8"/>
      <c r="AJ114" s="8"/>
    </row>
    <row r="115" ht="14.25" customHeight="1">
      <c r="A115" s="44"/>
      <c r="B115" s="12"/>
      <c r="C115" s="12"/>
      <c r="D115" s="12"/>
      <c r="E115" s="12"/>
      <c r="F115" s="12"/>
      <c r="G115" s="10"/>
      <c r="H115" s="8"/>
      <c r="I115" s="12"/>
      <c r="J115" s="8"/>
      <c r="K115" s="8"/>
      <c r="L115" s="8"/>
      <c r="M115" s="8"/>
      <c r="N115" s="8"/>
      <c r="O115" s="8"/>
      <c r="P115" s="12"/>
      <c r="Q115" s="8"/>
      <c r="R115" s="12"/>
      <c r="T115" s="12"/>
      <c r="AH115" s="8"/>
      <c r="AI115" s="8"/>
      <c r="AJ115" s="8"/>
    </row>
    <row r="116" ht="14.25" customHeight="1">
      <c r="A116" s="44"/>
      <c r="B116" s="12"/>
      <c r="C116" s="12"/>
      <c r="D116" s="12"/>
      <c r="E116" s="12"/>
      <c r="F116" s="12"/>
      <c r="G116" s="10"/>
      <c r="H116" s="8"/>
      <c r="I116" s="12"/>
      <c r="J116" s="8"/>
      <c r="K116" s="8"/>
      <c r="L116" s="8"/>
      <c r="M116" s="8"/>
      <c r="N116" s="8"/>
      <c r="O116" s="8"/>
      <c r="P116" s="12"/>
      <c r="Q116" s="8"/>
      <c r="R116" s="12"/>
      <c r="T116" s="12"/>
      <c r="AH116" s="8"/>
      <c r="AI116" s="8"/>
      <c r="AJ116" s="8"/>
    </row>
    <row r="117" ht="14.25" customHeight="1">
      <c r="A117" s="44"/>
      <c r="B117" s="12"/>
      <c r="C117" s="12"/>
      <c r="D117" s="12"/>
      <c r="E117" s="12"/>
      <c r="F117" s="12"/>
      <c r="G117" s="10"/>
      <c r="H117" s="8"/>
      <c r="I117" s="12"/>
      <c r="J117" s="8"/>
      <c r="K117" s="8"/>
      <c r="L117" s="8"/>
      <c r="M117" s="8"/>
      <c r="N117" s="8"/>
      <c r="O117" s="8"/>
      <c r="P117" s="12"/>
      <c r="Q117" s="8"/>
      <c r="R117" s="12"/>
      <c r="T117" s="12"/>
      <c r="AH117" s="8"/>
      <c r="AI117" s="8"/>
      <c r="AJ117" s="8"/>
    </row>
    <row r="118" ht="14.25" customHeight="1">
      <c r="A118" s="44"/>
      <c r="B118" s="12"/>
      <c r="C118" s="12"/>
      <c r="D118" s="12"/>
      <c r="E118" s="12"/>
      <c r="F118" s="12"/>
      <c r="G118" s="10"/>
      <c r="H118" s="8"/>
      <c r="I118" s="12"/>
      <c r="J118" s="8"/>
      <c r="K118" s="8"/>
      <c r="L118" s="8"/>
      <c r="M118" s="8"/>
      <c r="N118" s="8"/>
      <c r="O118" s="8"/>
      <c r="P118" s="12"/>
      <c r="Q118" s="8"/>
      <c r="R118" s="12"/>
      <c r="T118" s="12"/>
      <c r="AH118" s="8"/>
      <c r="AI118" s="8"/>
      <c r="AJ118" s="8"/>
    </row>
    <row r="119" ht="14.25" customHeight="1">
      <c r="A119" s="44"/>
      <c r="B119" s="12"/>
      <c r="C119" s="12"/>
      <c r="D119" s="12"/>
      <c r="E119" s="12"/>
      <c r="F119" s="12"/>
      <c r="G119" s="10"/>
      <c r="H119" s="8"/>
      <c r="I119" s="12"/>
      <c r="J119" s="8"/>
      <c r="K119" s="8"/>
      <c r="L119" s="8"/>
      <c r="M119" s="8"/>
      <c r="N119" s="8"/>
      <c r="O119" s="8"/>
      <c r="P119" s="12"/>
      <c r="Q119" s="8"/>
      <c r="R119" s="12"/>
      <c r="T119" s="12"/>
      <c r="AH119" s="8"/>
      <c r="AI119" s="8"/>
      <c r="AJ119" s="8"/>
    </row>
    <row r="120" ht="14.25" customHeight="1">
      <c r="A120" s="44"/>
      <c r="B120" s="12"/>
      <c r="C120" s="12"/>
      <c r="D120" s="12"/>
      <c r="E120" s="12"/>
      <c r="F120" s="12"/>
      <c r="G120" s="10"/>
      <c r="H120" s="8"/>
      <c r="I120" s="12"/>
      <c r="J120" s="8"/>
      <c r="K120" s="8"/>
      <c r="L120" s="8"/>
      <c r="M120" s="8"/>
      <c r="N120" s="8"/>
      <c r="O120" s="8"/>
      <c r="P120" s="12"/>
      <c r="Q120" s="8"/>
      <c r="R120" s="12"/>
      <c r="T120" s="12"/>
      <c r="AH120" s="8"/>
      <c r="AI120" s="8"/>
      <c r="AJ120" s="8"/>
    </row>
    <row r="121" ht="14.25" customHeight="1">
      <c r="A121" s="44"/>
      <c r="B121" s="12"/>
      <c r="C121" s="12"/>
      <c r="D121" s="12"/>
      <c r="E121" s="12"/>
      <c r="F121" s="12"/>
      <c r="G121" s="10"/>
      <c r="H121" s="8"/>
      <c r="I121" s="12"/>
      <c r="J121" s="8"/>
      <c r="K121" s="8"/>
      <c r="L121" s="8"/>
      <c r="M121" s="8"/>
      <c r="N121" s="8"/>
      <c r="O121" s="8"/>
      <c r="P121" s="12"/>
      <c r="Q121" s="8"/>
      <c r="R121" s="12"/>
      <c r="T121" s="12"/>
      <c r="AH121" s="8"/>
      <c r="AI121" s="8"/>
      <c r="AJ121" s="8"/>
    </row>
    <row r="122" ht="14.25" customHeight="1">
      <c r="A122" s="44"/>
      <c r="B122" s="12"/>
      <c r="C122" s="12"/>
      <c r="D122" s="12"/>
      <c r="E122" s="12"/>
      <c r="F122" s="12"/>
      <c r="G122" s="10"/>
      <c r="H122" s="8"/>
      <c r="I122" s="12"/>
      <c r="J122" s="8"/>
      <c r="K122" s="8"/>
      <c r="L122" s="8"/>
      <c r="M122" s="8"/>
      <c r="N122" s="8"/>
      <c r="O122" s="8"/>
      <c r="P122" s="12"/>
      <c r="Q122" s="8"/>
      <c r="R122" s="12"/>
      <c r="T122" s="12"/>
      <c r="AH122" s="8"/>
      <c r="AI122" s="8"/>
      <c r="AJ122" s="8"/>
    </row>
    <row r="123" ht="14.25" customHeight="1">
      <c r="A123" s="44"/>
      <c r="B123" s="12"/>
      <c r="C123" s="12"/>
      <c r="D123" s="12"/>
      <c r="E123" s="12"/>
      <c r="F123" s="12"/>
      <c r="G123" s="10"/>
      <c r="H123" s="8"/>
      <c r="I123" s="12"/>
      <c r="J123" s="8"/>
      <c r="K123" s="8"/>
      <c r="L123" s="8"/>
      <c r="M123" s="8"/>
      <c r="N123" s="8"/>
      <c r="O123" s="8"/>
      <c r="P123" s="12"/>
      <c r="Q123" s="8"/>
      <c r="R123" s="12"/>
      <c r="T123" s="12"/>
      <c r="AH123" s="8"/>
      <c r="AI123" s="8"/>
      <c r="AJ123" s="8"/>
    </row>
    <row r="124" ht="14.25" customHeight="1">
      <c r="A124" s="44"/>
      <c r="B124" s="12"/>
      <c r="C124" s="12"/>
      <c r="D124" s="12"/>
      <c r="E124" s="12"/>
      <c r="F124" s="12"/>
      <c r="G124" s="10"/>
      <c r="H124" s="8"/>
      <c r="I124" s="12"/>
      <c r="J124" s="8"/>
      <c r="K124" s="8"/>
      <c r="L124" s="8"/>
      <c r="M124" s="8"/>
      <c r="N124" s="8"/>
      <c r="O124" s="8"/>
      <c r="P124" s="12"/>
      <c r="Q124" s="8"/>
      <c r="R124" s="12"/>
      <c r="T124" s="12"/>
      <c r="AH124" s="8"/>
      <c r="AI124" s="8"/>
      <c r="AJ124" s="8"/>
    </row>
    <row r="125" ht="14.25" customHeight="1">
      <c r="A125" s="44"/>
      <c r="B125" s="12"/>
      <c r="C125" s="12"/>
      <c r="D125" s="12"/>
      <c r="E125" s="12"/>
      <c r="F125" s="12"/>
      <c r="G125" s="10"/>
      <c r="H125" s="8"/>
      <c r="I125" s="12"/>
      <c r="J125" s="8"/>
      <c r="K125" s="8"/>
      <c r="L125" s="8"/>
      <c r="M125" s="8"/>
      <c r="N125" s="8"/>
      <c r="O125" s="8"/>
      <c r="P125" s="12"/>
      <c r="Q125" s="8"/>
      <c r="R125" s="12"/>
      <c r="T125" s="12"/>
      <c r="AH125" s="8"/>
      <c r="AI125" s="8"/>
      <c r="AJ125" s="8"/>
    </row>
    <row r="126" ht="14.25" customHeight="1">
      <c r="A126" s="44"/>
      <c r="B126" s="12"/>
      <c r="C126" s="12"/>
      <c r="D126" s="12"/>
      <c r="E126" s="12"/>
      <c r="F126" s="12"/>
      <c r="G126" s="10"/>
      <c r="H126" s="8"/>
      <c r="I126" s="12"/>
      <c r="J126" s="8"/>
      <c r="K126" s="8"/>
      <c r="L126" s="8"/>
      <c r="M126" s="8"/>
      <c r="N126" s="8"/>
      <c r="O126" s="8"/>
      <c r="P126" s="12"/>
      <c r="Q126" s="8"/>
      <c r="R126" s="12"/>
      <c r="T126" s="12"/>
      <c r="AH126" s="8"/>
      <c r="AI126" s="8"/>
      <c r="AJ126" s="8"/>
    </row>
    <row r="127" ht="14.25" customHeight="1">
      <c r="A127" s="44"/>
      <c r="B127" s="12"/>
      <c r="C127" s="12"/>
      <c r="D127" s="12"/>
      <c r="E127" s="12"/>
      <c r="F127" s="12"/>
      <c r="G127" s="10"/>
      <c r="H127" s="8"/>
      <c r="I127" s="12"/>
      <c r="J127" s="8"/>
      <c r="K127" s="8"/>
      <c r="L127" s="8"/>
      <c r="M127" s="8"/>
      <c r="N127" s="8"/>
      <c r="O127" s="8"/>
      <c r="P127" s="12"/>
      <c r="Q127" s="8"/>
      <c r="R127" s="12"/>
      <c r="T127" s="12"/>
      <c r="AH127" s="8"/>
      <c r="AI127" s="8"/>
      <c r="AJ127" s="8"/>
    </row>
    <row r="128" ht="14.25" customHeight="1">
      <c r="A128" s="44"/>
      <c r="B128" s="12"/>
      <c r="C128" s="12"/>
      <c r="D128" s="12"/>
      <c r="E128" s="12"/>
      <c r="F128" s="12"/>
      <c r="G128" s="10"/>
      <c r="H128" s="8"/>
      <c r="I128" s="12"/>
      <c r="J128" s="8"/>
      <c r="K128" s="8"/>
      <c r="L128" s="8"/>
      <c r="M128" s="8"/>
      <c r="N128" s="8"/>
      <c r="O128" s="8"/>
      <c r="P128" s="12"/>
      <c r="Q128" s="8"/>
      <c r="R128" s="12"/>
      <c r="T128" s="12"/>
      <c r="AH128" s="8"/>
      <c r="AI128" s="8"/>
      <c r="AJ128" s="8"/>
    </row>
    <row r="129" ht="14.25" customHeight="1">
      <c r="A129" s="44"/>
      <c r="B129" s="12"/>
      <c r="C129" s="12"/>
      <c r="D129" s="12"/>
      <c r="E129" s="12"/>
      <c r="F129" s="12"/>
      <c r="G129" s="10"/>
      <c r="H129" s="8"/>
      <c r="I129" s="12"/>
      <c r="J129" s="8"/>
      <c r="K129" s="8"/>
      <c r="L129" s="8"/>
      <c r="M129" s="8"/>
      <c r="N129" s="8"/>
      <c r="O129" s="8"/>
      <c r="P129" s="12"/>
      <c r="Q129" s="8"/>
      <c r="R129" s="12"/>
      <c r="T129" s="12"/>
      <c r="AH129" s="8"/>
      <c r="AI129" s="8"/>
      <c r="AJ129" s="8"/>
    </row>
    <row r="130" ht="14.25" customHeight="1">
      <c r="A130" s="44"/>
      <c r="B130" s="12"/>
      <c r="C130" s="12"/>
      <c r="D130" s="12"/>
      <c r="E130" s="12"/>
      <c r="F130" s="12"/>
      <c r="G130" s="10"/>
      <c r="H130" s="8"/>
      <c r="I130" s="12"/>
      <c r="J130" s="8"/>
      <c r="K130" s="8"/>
      <c r="L130" s="8"/>
      <c r="M130" s="8"/>
      <c r="N130" s="8"/>
      <c r="O130" s="8"/>
      <c r="P130" s="12"/>
      <c r="Q130" s="8"/>
      <c r="R130" s="12"/>
      <c r="T130" s="12"/>
      <c r="AH130" s="8"/>
      <c r="AI130" s="8"/>
      <c r="AJ130" s="8"/>
    </row>
    <row r="131" ht="14.25" customHeight="1">
      <c r="A131" s="44"/>
      <c r="B131" s="12"/>
      <c r="C131" s="12"/>
      <c r="D131" s="12"/>
      <c r="E131" s="12"/>
      <c r="F131" s="12"/>
      <c r="G131" s="10"/>
      <c r="H131" s="8"/>
      <c r="I131" s="12"/>
      <c r="J131" s="8"/>
      <c r="K131" s="8"/>
      <c r="L131" s="8"/>
      <c r="M131" s="8"/>
      <c r="N131" s="8"/>
      <c r="O131" s="8"/>
      <c r="P131" s="12"/>
      <c r="Q131" s="8"/>
      <c r="R131" s="12"/>
      <c r="T131" s="12"/>
      <c r="AH131" s="8"/>
      <c r="AI131" s="8"/>
      <c r="AJ131" s="8"/>
    </row>
    <row r="132" ht="14.25" customHeight="1">
      <c r="A132" s="44"/>
      <c r="B132" s="12"/>
      <c r="C132" s="12"/>
      <c r="D132" s="12"/>
      <c r="E132" s="12"/>
      <c r="F132" s="12"/>
      <c r="G132" s="10"/>
      <c r="H132" s="8"/>
      <c r="I132" s="12"/>
      <c r="J132" s="8"/>
      <c r="K132" s="8"/>
      <c r="L132" s="8"/>
      <c r="M132" s="8"/>
      <c r="N132" s="8"/>
      <c r="O132" s="8"/>
      <c r="P132" s="12"/>
      <c r="Q132" s="8"/>
      <c r="R132" s="12"/>
      <c r="T132" s="12"/>
      <c r="AH132" s="8"/>
      <c r="AI132" s="8"/>
      <c r="AJ132" s="8"/>
    </row>
    <row r="133" ht="14.25" customHeight="1">
      <c r="A133" s="44"/>
      <c r="B133" s="12"/>
      <c r="C133" s="12"/>
      <c r="D133" s="12"/>
      <c r="E133" s="12"/>
      <c r="F133" s="12"/>
      <c r="G133" s="10"/>
      <c r="H133" s="8"/>
      <c r="I133" s="12"/>
      <c r="J133" s="8"/>
      <c r="K133" s="8"/>
      <c r="L133" s="8"/>
      <c r="M133" s="8"/>
      <c r="N133" s="8"/>
      <c r="O133" s="8"/>
      <c r="P133" s="12"/>
      <c r="Q133" s="8"/>
      <c r="R133" s="12"/>
      <c r="T133" s="12"/>
      <c r="AH133" s="8"/>
      <c r="AI133" s="8"/>
      <c r="AJ133" s="8"/>
    </row>
    <row r="134" ht="14.25" customHeight="1">
      <c r="A134" s="44"/>
      <c r="B134" s="12"/>
      <c r="C134" s="12"/>
      <c r="D134" s="12"/>
      <c r="E134" s="12"/>
      <c r="F134" s="12"/>
      <c r="G134" s="10"/>
      <c r="H134" s="8"/>
      <c r="I134" s="12"/>
      <c r="J134" s="8"/>
      <c r="K134" s="8"/>
      <c r="L134" s="8"/>
      <c r="M134" s="8"/>
      <c r="N134" s="8"/>
      <c r="O134" s="8"/>
      <c r="P134" s="12"/>
      <c r="Q134" s="8"/>
      <c r="R134" s="12"/>
      <c r="T134" s="12"/>
      <c r="AH134" s="8"/>
      <c r="AI134" s="8"/>
      <c r="AJ134" s="8"/>
    </row>
    <row r="135" ht="14.25" customHeight="1">
      <c r="A135" s="44"/>
      <c r="B135" s="12"/>
      <c r="C135" s="12"/>
      <c r="D135" s="12"/>
      <c r="E135" s="12"/>
      <c r="F135" s="12"/>
      <c r="G135" s="10"/>
      <c r="H135" s="8"/>
      <c r="I135" s="12"/>
      <c r="J135" s="8"/>
      <c r="K135" s="8"/>
      <c r="L135" s="8"/>
      <c r="M135" s="8"/>
      <c r="N135" s="8"/>
      <c r="O135" s="8"/>
      <c r="P135" s="12"/>
      <c r="Q135" s="8"/>
      <c r="R135" s="12"/>
      <c r="T135" s="12"/>
      <c r="AH135" s="8"/>
      <c r="AI135" s="8"/>
      <c r="AJ135" s="8"/>
    </row>
    <row r="136" ht="14.25" customHeight="1">
      <c r="A136" s="44"/>
      <c r="B136" s="12"/>
      <c r="C136" s="12"/>
      <c r="D136" s="12"/>
      <c r="E136" s="12"/>
      <c r="F136" s="12"/>
      <c r="G136" s="10"/>
      <c r="H136" s="8"/>
      <c r="I136" s="12"/>
      <c r="J136" s="8"/>
      <c r="K136" s="8"/>
      <c r="L136" s="8"/>
      <c r="M136" s="8"/>
      <c r="N136" s="8"/>
      <c r="O136" s="8"/>
      <c r="P136" s="12"/>
      <c r="Q136" s="8"/>
      <c r="R136" s="12"/>
      <c r="T136" s="12"/>
      <c r="AH136" s="8"/>
      <c r="AI136" s="8"/>
      <c r="AJ136" s="8"/>
    </row>
    <row r="137" ht="14.25" customHeight="1">
      <c r="A137" s="44"/>
      <c r="B137" s="12"/>
      <c r="C137" s="12"/>
      <c r="D137" s="12"/>
      <c r="E137" s="12"/>
      <c r="F137" s="12"/>
      <c r="G137" s="10"/>
      <c r="H137" s="8"/>
      <c r="I137" s="12"/>
      <c r="J137" s="8"/>
      <c r="K137" s="8"/>
      <c r="L137" s="8"/>
      <c r="M137" s="8"/>
      <c r="N137" s="8"/>
      <c r="O137" s="8"/>
      <c r="P137" s="12"/>
      <c r="Q137" s="8"/>
      <c r="R137" s="12"/>
      <c r="T137" s="12"/>
      <c r="AH137" s="8"/>
      <c r="AI137" s="8"/>
      <c r="AJ137" s="8"/>
    </row>
    <row r="138" ht="14.25" customHeight="1">
      <c r="A138" s="44"/>
      <c r="B138" s="12"/>
      <c r="C138" s="12"/>
      <c r="D138" s="12"/>
      <c r="E138" s="12"/>
      <c r="F138" s="12"/>
      <c r="G138" s="10"/>
      <c r="H138" s="8"/>
      <c r="I138" s="12"/>
      <c r="J138" s="8"/>
      <c r="K138" s="8"/>
      <c r="L138" s="8"/>
      <c r="M138" s="8"/>
      <c r="N138" s="8"/>
      <c r="O138" s="8"/>
      <c r="P138" s="12"/>
      <c r="Q138" s="8"/>
      <c r="R138" s="12"/>
      <c r="T138" s="12"/>
      <c r="AH138" s="8"/>
      <c r="AI138" s="8"/>
      <c r="AJ138" s="8"/>
    </row>
    <row r="139" ht="14.25" customHeight="1">
      <c r="A139" s="44"/>
      <c r="B139" s="12"/>
      <c r="C139" s="12"/>
      <c r="D139" s="12"/>
      <c r="E139" s="12"/>
      <c r="F139" s="12"/>
      <c r="G139" s="10"/>
      <c r="H139" s="8"/>
      <c r="I139" s="12"/>
      <c r="J139" s="8"/>
      <c r="K139" s="8"/>
      <c r="L139" s="8"/>
      <c r="M139" s="8"/>
      <c r="N139" s="8"/>
      <c r="O139" s="8"/>
      <c r="P139" s="12"/>
      <c r="Q139" s="8"/>
      <c r="R139" s="12"/>
      <c r="T139" s="12"/>
      <c r="AH139" s="8"/>
      <c r="AI139" s="8"/>
      <c r="AJ139" s="8"/>
    </row>
    <row r="140" ht="14.25" customHeight="1">
      <c r="A140" s="44"/>
      <c r="B140" s="12"/>
      <c r="C140" s="12"/>
      <c r="D140" s="12"/>
      <c r="E140" s="12"/>
      <c r="F140" s="12"/>
      <c r="G140" s="10"/>
      <c r="H140" s="8"/>
      <c r="I140" s="12"/>
      <c r="J140" s="8"/>
      <c r="K140" s="8"/>
      <c r="L140" s="8"/>
      <c r="M140" s="8"/>
      <c r="N140" s="8"/>
      <c r="O140" s="8"/>
      <c r="P140" s="12"/>
      <c r="Q140" s="8"/>
      <c r="R140" s="12"/>
      <c r="T140" s="12"/>
      <c r="AH140" s="8"/>
      <c r="AI140" s="8"/>
      <c r="AJ140" s="8"/>
    </row>
    <row r="141" ht="14.25" customHeight="1">
      <c r="A141" s="44"/>
      <c r="B141" s="12"/>
      <c r="C141" s="12"/>
      <c r="D141" s="12"/>
      <c r="E141" s="12"/>
      <c r="F141" s="12"/>
      <c r="G141" s="10"/>
      <c r="H141" s="8"/>
      <c r="I141" s="12"/>
      <c r="J141" s="8"/>
      <c r="K141" s="8"/>
      <c r="L141" s="8"/>
      <c r="M141" s="8"/>
      <c r="N141" s="8"/>
      <c r="O141" s="8"/>
      <c r="P141" s="12"/>
      <c r="Q141" s="8"/>
      <c r="R141" s="12"/>
      <c r="T141" s="12"/>
      <c r="AH141" s="8"/>
      <c r="AI141" s="8"/>
      <c r="AJ141" s="8"/>
    </row>
    <row r="142" ht="14.25" customHeight="1">
      <c r="A142" s="44"/>
      <c r="B142" s="12"/>
      <c r="C142" s="12"/>
      <c r="D142" s="12"/>
      <c r="E142" s="12"/>
      <c r="F142" s="12"/>
      <c r="G142" s="10"/>
      <c r="H142" s="8"/>
      <c r="I142" s="12"/>
      <c r="J142" s="8"/>
      <c r="K142" s="8"/>
      <c r="L142" s="8"/>
      <c r="M142" s="8"/>
      <c r="N142" s="8"/>
      <c r="O142" s="8"/>
      <c r="P142" s="12"/>
      <c r="Q142" s="8"/>
      <c r="R142" s="12"/>
      <c r="T142" s="12"/>
      <c r="AH142" s="8"/>
      <c r="AI142" s="8"/>
      <c r="AJ142" s="8"/>
    </row>
    <row r="143" ht="14.25" customHeight="1">
      <c r="A143" s="44"/>
      <c r="B143" s="12"/>
      <c r="C143" s="12"/>
      <c r="D143" s="12"/>
      <c r="E143" s="12"/>
      <c r="F143" s="12"/>
      <c r="G143" s="10"/>
      <c r="H143" s="8"/>
      <c r="I143" s="12"/>
      <c r="J143" s="8"/>
      <c r="K143" s="8"/>
      <c r="L143" s="8"/>
      <c r="M143" s="8"/>
      <c r="N143" s="8"/>
      <c r="O143" s="8"/>
      <c r="P143" s="12"/>
      <c r="Q143" s="8"/>
      <c r="R143" s="12"/>
      <c r="T143" s="12"/>
      <c r="AH143" s="8"/>
      <c r="AI143" s="8"/>
      <c r="AJ143" s="8"/>
    </row>
    <row r="144" ht="14.25" customHeight="1">
      <c r="A144" s="44"/>
      <c r="B144" s="12"/>
      <c r="C144" s="12"/>
      <c r="D144" s="12"/>
      <c r="E144" s="12"/>
      <c r="F144" s="12"/>
      <c r="G144" s="10"/>
      <c r="H144" s="8"/>
      <c r="I144" s="12"/>
      <c r="J144" s="8"/>
      <c r="K144" s="8"/>
      <c r="L144" s="8"/>
      <c r="M144" s="8"/>
      <c r="N144" s="8"/>
      <c r="O144" s="8"/>
      <c r="P144" s="12"/>
      <c r="Q144" s="8"/>
      <c r="R144" s="12"/>
      <c r="T144" s="12"/>
      <c r="AH144" s="8"/>
      <c r="AI144" s="8"/>
      <c r="AJ144" s="8"/>
    </row>
    <row r="145" ht="14.25" customHeight="1">
      <c r="A145" s="44"/>
      <c r="B145" s="12"/>
      <c r="C145" s="12"/>
      <c r="D145" s="12"/>
      <c r="E145" s="12"/>
      <c r="F145" s="12"/>
      <c r="G145" s="10"/>
      <c r="H145" s="8"/>
      <c r="I145" s="12"/>
      <c r="J145" s="8"/>
      <c r="K145" s="8"/>
      <c r="L145" s="8"/>
      <c r="M145" s="8"/>
      <c r="N145" s="8"/>
      <c r="O145" s="8"/>
      <c r="P145" s="12"/>
      <c r="Q145" s="8"/>
      <c r="R145" s="12"/>
      <c r="T145" s="12"/>
      <c r="AH145" s="8"/>
      <c r="AI145" s="8"/>
      <c r="AJ145" s="8"/>
    </row>
    <row r="146" ht="14.25" customHeight="1">
      <c r="A146" s="44"/>
      <c r="B146" s="12"/>
      <c r="C146" s="12"/>
      <c r="D146" s="12"/>
      <c r="E146" s="12"/>
      <c r="F146" s="12"/>
      <c r="G146" s="10"/>
      <c r="H146" s="8"/>
      <c r="I146" s="12"/>
      <c r="J146" s="8"/>
      <c r="K146" s="8"/>
      <c r="L146" s="8"/>
      <c r="M146" s="8"/>
      <c r="N146" s="8"/>
      <c r="O146" s="8"/>
      <c r="P146" s="12"/>
      <c r="Q146" s="8"/>
      <c r="R146" s="12"/>
      <c r="T146" s="12"/>
      <c r="AH146" s="8"/>
      <c r="AI146" s="8"/>
      <c r="AJ146" s="8"/>
    </row>
    <row r="147" ht="14.25" customHeight="1">
      <c r="A147" s="44"/>
      <c r="B147" s="12"/>
      <c r="C147" s="12"/>
      <c r="D147" s="12"/>
      <c r="E147" s="12"/>
      <c r="F147" s="12"/>
      <c r="G147" s="10"/>
      <c r="H147" s="8"/>
      <c r="I147" s="12"/>
      <c r="J147" s="8"/>
      <c r="K147" s="8"/>
      <c r="L147" s="8"/>
      <c r="M147" s="8"/>
      <c r="N147" s="8"/>
      <c r="O147" s="8"/>
      <c r="P147" s="12"/>
      <c r="Q147" s="8"/>
      <c r="R147" s="12"/>
      <c r="T147" s="12"/>
      <c r="AH147" s="8"/>
      <c r="AI147" s="8"/>
      <c r="AJ147" s="8"/>
    </row>
    <row r="148" ht="14.25" customHeight="1">
      <c r="A148" s="44"/>
      <c r="B148" s="12"/>
      <c r="C148" s="12"/>
      <c r="D148" s="12"/>
      <c r="E148" s="12"/>
      <c r="F148" s="12"/>
      <c r="G148" s="10"/>
      <c r="H148" s="8"/>
      <c r="I148" s="12"/>
      <c r="J148" s="8"/>
      <c r="K148" s="8"/>
      <c r="L148" s="8"/>
      <c r="M148" s="8"/>
      <c r="N148" s="8"/>
      <c r="O148" s="8"/>
      <c r="P148" s="12"/>
      <c r="Q148" s="8"/>
      <c r="R148" s="12"/>
      <c r="T148" s="12"/>
      <c r="AH148" s="8"/>
      <c r="AI148" s="8"/>
      <c r="AJ148" s="8"/>
    </row>
    <row r="149" ht="14.25" customHeight="1">
      <c r="A149" s="44"/>
      <c r="B149" s="12"/>
      <c r="C149" s="12"/>
      <c r="D149" s="12"/>
      <c r="E149" s="12"/>
      <c r="F149" s="12"/>
      <c r="G149" s="10"/>
      <c r="H149" s="8"/>
      <c r="I149" s="12"/>
      <c r="J149" s="8"/>
      <c r="K149" s="8"/>
      <c r="L149" s="8"/>
      <c r="M149" s="8"/>
      <c r="N149" s="8"/>
      <c r="O149" s="8"/>
      <c r="P149" s="12"/>
      <c r="Q149" s="8"/>
      <c r="R149" s="12"/>
      <c r="T149" s="12"/>
      <c r="AH149" s="8"/>
      <c r="AI149" s="8"/>
      <c r="AJ149" s="8"/>
    </row>
    <row r="150" ht="14.25" customHeight="1">
      <c r="A150" s="44"/>
      <c r="B150" s="12"/>
      <c r="C150" s="12"/>
      <c r="D150" s="12"/>
      <c r="E150" s="12"/>
      <c r="F150" s="12"/>
      <c r="G150" s="10"/>
      <c r="H150" s="8"/>
      <c r="I150" s="12"/>
      <c r="J150" s="8"/>
      <c r="K150" s="8"/>
      <c r="L150" s="8"/>
      <c r="M150" s="8"/>
      <c r="N150" s="8"/>
      <c r="O150" s="8"/>
      <c r="P150" s="12"/>
      <c r="Q150" s="8"/>
      <c r="R150" s="12"/>
      <c r="T150" s="12"/>
      <c r="AH150" s="8"/>
      <c r="AI150" s="8"/>
      <c r="AJ150" s="8"/>
    </row>
    <row r="151" ht="14.25" customHeight="1">
      <c r="A151" s="44"/>
      <c r="B151" s="12"/>
      <c r="C151" s="12"/>
      <c r="D151" s="12"/>
      <c r="E151" s="12"/>
      <c r="F151" s="12"/>
      <c r="G151" s="10"/>
      <c r="H151" s="8"/>
      <c r="I151" s="12"/>
      <c r="J151" s="8"/>
      <c r="K151" s="8"/>
      <c r="L151" s="8"/>
      <c r="M151" s="8"/>
      <c r="N151" s="8"/>
      <c r="O151" s="8"/>
      <c r="P151" s="12"/>
      <c r="Q151" s="8"/>
      <c r="R151" s="12"/>
      <c r="T151" s="12"/>
      <c r="AH151" s="8"/>
      <c r="AI151" s="8"/>
      <c r="AJ151" s="8"/>
    </row>
    <row r="152" ht="14.25" customHeight="1">
      <c r="A152" s="44"/>
      <c r="B152" s="12"/>
      <c r="C152" s="12"/>
      <c r="D152" s="12"/>
      <c r="E152" s="12"/>
      <c r="F152" s="12"/>
      <c r="G152" s="10"/>
      <c r="H152" s="8"/>
      <c r="I152" s="12"/>
      <c r="J152" s="8"/>
      <c r="K152" s="8"/>
      <c r="L152" s="8"/>
      <c r="M152" s="8"/>
      <c r="N152" s="8"/>
      <c r="O152" s="8"/>
      <c r="P152" s="12"/>
      <c r="Q152" s="8"/>
      <c r="R152" s="12"/>
      <c r="T152" s="12"/>
      <c r="AH152" s="8"/>
      <c r="AI152" s="8"/>
      <c r="AJ152" s="8"/>
    </row>
    <row r="153" ht="14.25" customHeight="1">
      <c r="A153" s="44"/>
      <c r="B153" s="12"/>
      <c r="C153" s="12"/>
      <c r="D153" s="12"/>
      <c r="E153" s="12"/>
      <c r="F153" s="12"/>
      <c r="G153" s="10"/>
      <c r="H153" s="8"/>
      <c r="I153" s="12"/>
      <c r="J153" s="8"/>
      <c r="K153" s="8"/>
      <c r="L153" s="8"/>
      <c r="M153" s="8"/>
      <c r="N153" s="8"/>
      <c r="O153" s="8"/>
      <c r="P153" s="12"/>
      <c r="Q153" s="8"/>
      <c r="R153" s="12"/>
      <c r="T153" s="12"/>
      <c r="AH153" s="8"/>
      <c r="AI153" s="8"/>
      <c r="AJ153" s="8"/>
    </row>
    <row r="154" ht="14.25" customHeight="1">
      <c r="A154" s="44"/>
      <c r="B154" s="12"/>
      <c r="C154" s="12"/>
      <c r="D154" s="12"/>
      <c r="E154" s="12"/>
      <c r="F154" s="12"/>
      <c r="G154" s="10"/>
      <c r="H154" s="8"/>
      <c r="I154" s="12"/>
      <c r="J154" s="8"/>
      <c r="K154" s="8"/>
      <c r="L154" s="8"/>
      <c r="M154" s="8"/>
      <c r="N154" s="8"/>
      <c r="O154" s="8"/>
      <c r="P154" s="12"/>
      <c r="Q154" s="8"/>
      <c r="R154" s="12"/>
      <c r="T154" s="12"/>
      <c r="AH154" s="8"/>
      <c r="AI154" s="8"/>
      <c r="AJ154" s="8"/>
    </row>
    <row r="155" ht="14.25" customHeight="1">
      <c r="A155" s="44"/>
      <c r="B155" s="12"/>
      <c r="C155" s="12"/>
      <c r="D155" s="12"/>
      <c r="E155" s="12"/>
      <c r="F155" s="12"/>
      <c r="G155" s="10"/>
      <c r="H155" s="8"/>
      <c r="I155" s="12"/>
      <c r="J155" s="8"/>
      <c r="K155" s="8"/>
      <c r="L155" s="8"/>
      <c r="M155" s="8"/>
      <c r="N155" s="8"/>
      <c r="O155" s="8"/>
      <c r="P155" s="12"/>
      <c r="Q155" s="8"/>
      <c r="R155" s="12"/>
      <c r="T155" s="12"/>
      <c r="AH155" s="8"/>
      <c r="AI155" s="8"/>
      <c r="AJ155" s="8"/>
    </row>
    <row r="156" ht="14.25" customHeight="1">
      <c r="A156" s="44"/>
      <c r="B156" s="12"/>
      <c r="C156" s="12"/>
      <c r="D156" s="12"/>
      <c r="E156" s="12"/>
      <c r="F156" s="12"/>
      <c r="G156" s="10"/>
      <c r="H156" s="8"/>
      <c r="I156" s="12"/>
      <c r="J156" s="8"/>
      <c r="K156" s="8"/>
      <c r="L156" s="8"/>
      <c r="M156" s="8"/>
      <c r="N156" s="8"/>
      <c r="O156" s="8"/>
      <c r="P156" s="12"/>
      <c r="Q156" s="8"/>
      <c r="R156" s="12"/>
      <c r="T156" s="12"/>
      <c r="AH156" s="8"/>
      <c r="AI156" s="8"/>
      <c r="AJ156" s="8"/>
    </row>
    <row r="157" ht="14.25" customHeight="1">
      <c r="A157" s="44"/>
      <c r="B157" s="12"/>
      <c r="C157" s="12"/>
      <c r="D157" s="12"/>
      <c r="E157" s="12"/>
      <c r="F157" s="12"/>
      <c r="G157" s="10"/>
      <c r="H157" s="8"/>
      <c r="I157" s="12"/>
      <c r="J157" s="8"/>
      <c r="K157" s="8"/>
      <c r="L157" s="8"/>
      <c r="M157" s="8"/>
      <c r="N157" s="8"/>
      <c r="O157" s="8"/>
      <c r="P157" s="12"/>
      <c r="Q157" s="8"/>
      <c r="R157" s="12"/>
      <c r="T157" s="12"/>
      <c r="AH157" s="8"/>
      <c r="AI157" s="8"/>
      <c r="AJ157" s="8"/>
    </row>
    <row r="158" ht="14.25" customHeight="1">
      <c r="A158" s="44"/>
      <c r="B158" s="12"/>
      <c r="C158" s="12"/>
      <c r="D158" s="12"/>
      <c r="E158" s="12"/>
      <c r="F158" s="12"/>
      <c r="G158" s="10"/>
      <c r="H158" s="8"/>
      <c r="I158" s="12"/>
      <c r="J158" s="8"/>
      <c r="K158" s="8"/>
      <c r="L158" s="8"/>
      <c r="M158" s="8"/>
      <c r="N158" s="8"/>
      <c r="O158" s="8"/>
      <c r="P158" s="12"/>
      <c r="Q158" s="8"/>
      <c r="R158" s="12"/>
      <c r="T158" s="12"/>
      <c r="AH158" s="8"/>
      <c r="AI158" s="8"/>
      <c r="AJ158" s="8"/>
    </row>
    <row r="159" ht="14.25" customHeight="1">
      <c r="A159" s="44"/>
      <c r="B159" s="12"/>
      <c r="C159" s="12"/>
      <c r="D159" s="12"/>
      <c r="E159" s="12"/>
      <c r="F159" s="12"/>
      <c r="G159" s="10"/>
      <c r="H159" s="8"/>
      <c r="I159" s="12"/>
      <c r="J159" s="8"/>
      <c r="K159" s="8"/>
      <c r="L159" s="8"/>
      <c r="M159" s="8"/>
      <c r="N159" s="8"/>
      <c r="O159" s="8"/>
      <c r="P159" s="12"/>
      <c r="Q159" s="8"/>
      <c r="R159" s="12"/>
      <c r="T159" s="12"/>
      <c r="AH159" s="8"/>
      <c r="AI159" s="8"/>
      <c r="AJ159" s="8"/>
    </row>
    <row r="160" ht="14.25" customHeight="1">
      <c r="A160" s="44"/>
      <c r="B160" s="12"/>
      <c r="C160" s="12"/>
      <c r="D160" s="12"/>
      <c r="E160" s="12"/>
      <c r="F160" s="12"/>
      <c r="G160" s="10"/>
      <c r="H160" s="8"/>
      <c r="I160" s="12"/>
      <c r="J160" s="8"/>
      <c r="K160" s="8"/>
      <c r="L160" s="8"/>
      <c r="M160" s="8"/>
      <c r="N160" s="8"/>
      <c r="O160" s="8"/>
      <c r="P160" s="12"/>
      <c r="Q160" s="8"/>
      <c r="R160" s="12"/>
      <c r="T160" s="12"/>
      <c r="AH160" s="8"/>
      <c r="AI160" s="8"/>
      <c r="AJ160" s="8"/>
    </row>
    <row r="161" ht="14.25" customHeight="1">
      <c r="A161" s="44"/>
      <c r="B161" s="12"/>
      <c r="C161" s="12"/>
      <c r="D161" s="12"/>
      <c r="E161" s="12"/>
      <c r="F161" s="12"/>
      <c r="G161" s="10"/>
      <c r="H161" s="8"/>
      <c r="I161" s="12"/>
      <c r="J161" s="8"/>
      <c r="K161" s="8"/>
      <c r="L161" s="8"/>
      <c r="M161" s="8"/>
      <c r="N161" s="8"/>
      <c r="O161" s="8"/>
      <c r="P161" s="12"/>
      <c r="Q161" s="8"/>
      <c r="R161" s="12"/>
      <c r="T161" s="12"/>
      <c r="AH161" s="8"/>
      <c r="AI161" s="8"/>
      <c r="AJ161" s="8"/>
    </row>
    <row r="162" ht="14.25" customHeight="1">
      <c r="A162" s="44"/>
      <c r="B162" s="12"/>
      <c r="C162" s="12"/>
      <c r="D162" s="12"/>
      <c r="E162" s="12"/>
      <c r="F162" s="12"/>
      <c r="G162" s="10"/>
      <c r="H162" s="8"/>
      <c r="I162" s="12"/>
      <c r="J162" s="8"/>
      <c r="K162" s="8"/>
      <c r="L162" s="8"/>
      <c r="M162" s="8"/>
      <c r="N162" s="8"/>
      <c r="O162" s="8"/>
      <c r="P162" s="12"/>
      <c r="Q162" s="8"/>
      <c r="R162" s="12"/>
      <c r="T162" s="12"/>
      <c r="AH162" s="8"/>
      <c r="AI162" s="8"/>
      <c r="AJ162" s="8"/>
    </row>
    <row r="163" ht="14.25" customHeight="1">
      <c r="A163" s="44"/>
      <c r="B163" s="12"/>
      <c r="C163" s="12"/>
      <c r="D163" s="12"/>
      <c r="E163" s="12"/>
      <c r="F163" s="12"/>
      <c r="G163" s="10"/>
      <c r="H163" s="8"/>
      <c r="I163" s="12"/>
      <c r="J163" s="8"/>
      <c r="K163" s="8"/>
      <c r="L163" s="8"/>
      <c r="M163" s="8"/>
      <c r="N163" s="8"/>
      <c r="O163" s="8"/>
      <c r="P163" s="12"/>
      <c r="Q163" s="8"/>
      <c r="R163" s="12"/>
      <c r="T163" s="12"/>
      <c r="AH163" s="8"/>
      <c r="AI163" s="8"/>
      <c r="AJ163" s="8"/>
    </row>
    <row r="164" ht="14.25" customHeight="1">
      <c r="A164" s="44"/>
      <c r="B164" s="12"/>
      <c r="C164" s="12"/>
      <c r="D164" s="12"/>
      <c r="E164" s="12"/>
      <c r="F164" s="12"/>
      <c r="G164" s="10"/>
      <c r="H164" s="8"/>
      <c r="I164" s="12"/>
      <c r="J164" s="8"/>
      <c r="K164" s="8"/>
      <c r="L164" s="8"/>
      <c r="M164" s="8"/>
      <c r="N164" s="8"/>
      <c r="O164" s="8"/>
      <c r="P164" s="12"/>
      <c r="Q164" s="8"/>
      <c r="R164" s="12"/>
      <c r="T164" s="12"/>
      <c r="AH164" s="8"/>
      <c r="AI164" s="8"/>
      <c r="AJ164" s="8"/>
    </row>
    <row r="165" ht="14.25" customHeight="1">
      <c r="A165" s="44"/>
      <c r="B165" s="12"/>
      <c r="C165" s="12"/>
      <c r="D165" s="12"/>
      <c r="E165" s="12"/>
      <c r="F165" s="12"/>
      <c r="G165" s="10"/>
      <c r="H165" s="8"/>
      <c r="I165" s="12"/>
      <c r="J165" s="8"/>
      <c r="K165" s="8"/>
      <c r="L165" s="8"/>
      <c r="M165" s="8"/>
      <c r="N165" s="8"/>
      <c r="O165" s="8"/>
      <c r="P165" s="12"/>
      <c r="Q165" s="8"/>
      <c r="R165" s="12"/>
      <c r="T165" s="12"/>
      <c r="AH165" s="8"/>
      <c r="AI165" s="8"/>
      <c r="AJ165" s="8"/>
    </row>
    <row r="166" ht="14.25" customHeight="1">
      <c r="A166" s="44"/>
      <c r="B166" s="12"/>
      <c r="C166" s="12"/>
      <c r="D166" s="12"/>
      <c r="E166" s="12"/>
      <c r="F166" s="12"/>
      <c r="G166" s="10"/>
      <c r="H166" s="8"/>
      <c r="I166" s="12"/>
      <c r="J166" s="8"/>
      <c r="K166" s="8"/>
      <c r="L166" s="8"/>
      <c r="M166" s="8"/>
      <c r="N166" s="8"/>
      <c r="O166" s="8"/>
      <c r="P166" s="12"/>
      <c r="Q166" s="8"/>
      <c r="R166" s="12"/>
      <c r="T166" s="12"/>
      <c r="AH166" s="8"/>
      <c r="AI166" s="8"/>
      <c r="AJ166" s="8"/>
    </row>
    <row r="167" ht="14.25" customHeight="1">
      <c r="A167" s="44"/>
      <c r="B167" s="12"/>
      <c r="C167" s="12"/>
      <c r="D167" s="12"/>
      <c r="E167" s="12"/>
      <c r="F167" s="12"/>
      <c r="G167" s="10"/>
      <c r="H167" s="8"/>
      <c r="I167" s="12"/>
      <c r="J167" s="8"/>
      <c r="K167" s="8"/>
      <c r="L167" s="8"/>
      <c r="M167" s="8"/>
      <c r="N167" s="8"/>
      <c r="O167" s="8"/>
      <c r="P167" s="12"/>
      <c r="Q167" s="8"/>
      <c r="R167" s="12"/>
      <c r="T167" s="12"/>
      <c r="AH167" s="8"/>
      <c r="AI167" s="8"/>
      <c r="AJ167" s="8"/>
    </row>
    <row r="168" ht="14.25" customHeight="1">
      <c r="A168" s="44"/>
      <c r="B168" s="12"/>
      <c r="C168" s="12"/>
      <c r="D168" s="12"/>
      <c r="E168" s="12"/>
      <c r="F168" s="12"/>
      <c r="G168" s="10"/>
      <c r="H168" s="8"/>
      <c r="I168" s="12"/>
      <c r="J168" s="8"/>
      <c r="K168" s="8"/>
      <c r="L168" s="8"/>
      <c r="M168" s="8"/>
      <c r="N168" s="8"/>
      <c r="O168" s="8"/>
      <c r="P168" s="12"/>
      <c r="Q168" s="8"/>
      <c r="R168" s="12"/>
      <c r="T168" s="12"/>
      <c r="AH168" s="8"/>
      <c r="AI168" s="8"/>
      <c r="AJ168" s="8"/>
    </row>
    <row r="169" ht="14.25" customHeight="1">
      <c r="A169" s="44"/>
      <c r="B169" s="12"/>
      <c r="C169" s="12"/>
      <c r="D169" s="12"/>
      <c r="E169" s="12"/>
      <c r="F169" s="12"/>
      <c r="G169" s="10"/>
      <c r="H169" s="8"/>
      <c r="I169" s="12"/>
      <c r="J169" s="8"/>
      <c r="K169" s="8"/>
      <c r="L169" s="8"/>
      <c r="M169" s="8"/>
      <c r="N169" s="8"/>
      <c r="O169" s="8"/>
      <c r="P169" s="12"/>
      <c r="Q169" s="8"/>
      <c r="R169" s="12"/>
      <c r="T169" s="12"/>
      <c r="AH169" s="8"/>
      <c r="AI169" s="8"/>
      <c r="AJ169" s="8"/>
    </row>
    <row r="170" ht="14.25" customHeight="1">
      <c r="A170" s="44"/>
      <c r="B170" s="12"/>
      <c r="C170" s="12"/>
      <c r="D170" s="12"/>
      <c r="E170" s="12"/>
      <c r="F170" s="12"/>
      <c r="G170" s="10"/>
      <c r="H170" s="8"/>
      <c r="I170" s="12"/>
      <c r="J170" s="8"/>
      <c r="K170" s="8"/>
      <c r="L170" s="8"/>
      <c r="M170" s="8"/>
      <c r="N170" s="8"/>
      <c r="O170" s="8"/>
      <c r="P170" s="12"/>
      <c r="Q170" s="8"/>
      <c r="R170" s="12"/>
      <c r="T170" s="12"/>
      <c r="AH170" s="8"/>
      <c r="AI170" s="8"/>
      <c r="AJ170" s="8"/>
    </row>
    <row r="171" ht="14.25" customHeight="1">
      <c r="A171" s="44"/>
      <c r="B171" s="12"/>
      <c r="C171" s="12"/>
      <c r="D171" s="12"/>
      <c r="E171" s="12"/>
      <c r="F171" s="12"/>
      <c r="G171" s="10"/>
      <c r="H171" s="8"/>
      <c r="I171" s="12"/>
      <c r="J171" s="8"/>
      <c r="K171" s="8"/>
      <c r="L171" s="8"/>
      <c r="M171" s="8"/>
      <c r="N171" s="8"/>
      <c r="O171" s="8"/>
      <c r="P171" s="12"/>
      <c r="Q171" s="8"/>
      <c r="R171" s="12"/>
      <c r="T171" s="12"/>
      <c r="AH171" s="8"/>
      <c r="AI171" s="8"/>
      <c r="AJ171" s="8"/>
    </row>
    <row r="172" ht="14.25" customHeight="1">
      <c r="A172" s="44"/>
      <c r="B172" s="12"/>
      <c r="C172" s="12"/>
      <c r="D172" s="12"/>
      <c r="E172" s="12"/>
      <c r="F172" s="12"/>
      <c r="G172" s="10"/>
      <c r="H172" s="8"/>
      <c r="I172" s="12"/>
      <c r="J172" s="8"/>
      <c r="K172" s="8"/>
      <c r="L172" s="8"/>
      <c r="M172" s="8"/>
      <c r="N172" s="8"/>
      <c r="O172" s="8"/>
      <c r="P172" s="12"/>
      <c r="Q172" s="8"/>
      <c r="R172" s="12"/>
      <c r="T172" s="12"/>
      <c r="AH172" s="8"/>
      <c r="AI172" s="8"/>
      <c r="AJ172" s="8"/>
    </row>
    <row r="173" ht="14.25" customHeight="1">
      <c r="A173" s="44"/>
      <c r="B173" s="12"/>
      <c r="C173" s="12"/>
      <c r="D173" s="12"/>
      <c r="E173" s="12"/>
      <c r="F173" s="12"/>
      <c r="G173" s="10"/>
      <c r="H173" s="8"/>
      <c r="I173" s="12"/>
      <c r="J173" s="8"/>
      <c r="K173" s="8"/>
      <c r="L173" s="8"/>
      <c r="M173" s="8"/>
      <c r="N173" s="8"/>
      <c r="O173" s="8"/>
      <c r="P173" s="12"/>
      <c r="Q173" s="8"/>
      <c r="R173" s="12"/>
      <c r="T173" s="12"/>
      <c r="AH173" s="8"/>
      <c r="AI173" s="8"/>
      <c r="AJ173" s="8"/>
    </row>
    <row r="174" ht="14.25" customHeight="1">
      <c r="A174" s="44"/>
      <c r="B174" s="12"/>
      <c r="C174" s="12"/>
      <c r="D174" s="12"/>
      <c r="E174" s="12"/>
      <c r="F174" s="12"/>
      <c r="G174" s="10"/>
      <c r="H174" s="8"/>
      <c r="I174" s="12"/>
      <c r="J174" s="8"/>
      <c r="K174" s="8"/>
      <c r="L174" s="8"/>
      <c r="M174" s="8"/>
      <c r="N174" s="8"/>
      <c r="O174" s="8"/>
      <c r="P174" s="12"/>
      <c r="Q174" s="8"/>
      <c r="R174" s="12"/>
      <c r="T174" s="12"/>
      <c r="AH174" s="8"/>
      <c r="AI174" s="8"/>
      <c r="AJ174" s="8"/>
    </row>
    <row r="175" ht="14.25" customHeight="1">
      <c r="A175" s="44"/>
      <c r="B175" s="12"/>
      <c r="C175" s="12"/>
      <c r="D175" s="12"/>
      <c r="E175" s="12"/>
      <c r="F175" s="12"/>
      <c r="G175" s="10"/>
      <c r="H175" s="8"/>
      <c r="I175" s="12"/>
      <c r="J175" s="8"/>
      <c r="K175" s="8"/>
      <c r="L175" s="8"/>
      <c r="M175" s="8"/>
      <c r="N175" s="8"/>
      <c r="O175" s="8"/>
      <c r="P175" s="12"/>
      <c r="Q175" s="8"/>
      <c r="R175" s="12"/>
      <c r="T175" s="12"/>
      <c r="AH175" s="8"/>
      <c r="AI175" s="8"/>
      <c r="AJ175" s="8"/>
    </row>
    <row r="176" ht="14.25" customHeight="1">
      <c r="A176" s="44"/>
      <c r="B176" s="12"/>
      <c r="C176" s="12"/>
      <c r="D176" s="12"/>
      <c r="E176" s="12"/>
      <c r="F176" s="12"/>
      <c r="G176" s="10"/>
      <c r="H176" s="8"/>
      <c r="I176" s="12"/>
      <c r="J176" s="8"/>
      <c r="K176" s="8"/>
      <c r="L176" s="8"/>
      <c r="M176" s="8"/>
      <c r="N176" s="8"/>
      <c r="O176" s="8"/>
      <c r="P176" s="12"/>
      <c r="Q176" s="8"/>
      <c r="R176" s="12"/>
      <c r="T176" s="12"/>
      <c r="AH176" s="8"/>
      <c r="AI176" s="8"/>
      <c r="AJ176" s="8"/>
    </row>
    <row r="177" ht="14.25" customHeight="1">
      <c r="A177" s="44"/>
      <c r="B177" s="12"/>
      <c r="C177" s="12"/>
      <c r="D177" s="12"/>
      <c r="E177" s="12"/>
      <c r="F177" s="12"/>
      <c r="G177" s="10"/>
      <c r="H177" s="8"/>
      <c r="I177" s="12"/>
      <c r="J177" s="8"/>
      <c r="K177" s="8"/>
      <c r="L177" s="8"/>
      <c r="M177" s="8"/>
      <c r="N177" s="8"/>
      <c r="O177" s="8"/>
      <c r="P177" s="12"/>
      <c r="Q177" s="8"/>
      <c r="R177" s="12"/>
      <c r="T177" s="12"/>
      <c r="AH177" s="8"/>
      <c r="AI177" s="8"/>
      <c r="AJ177" s="8"/>
    </row>
    <row r="178" ht="14.25" customHeight="1">
      <c r="A178" s="44"/>
      <c r="B178" s="12"/>
      <c r="C178" s="12"/>
      <c r="D178" s="12"/>
      <c r="E178" s="12"/>
      <c r="F178" s="12"/>
      <c r="G178" s="10"/>
      <c r="H178" s="8"/>
      <c r="I178" s="12"/>
      <c r="J178" s="8"/>
      <c r="K178" s="8"/>
      <c r="L178" s="8"/>
      <c r="M178" s="8"/>
      <c r="N178" s="8"/>
      <c r="O178" s="8"/>
      <c r="P178" s="12"/>
      <c r="Q178" s="8"/>
      <c r="R178" s="12"/>
      <c r="T178" s="12"/>
      <c r="AH178" s="8"/>
      <c r="AI178" s="8"/>
      <c r="AJ178" s="8"/>
    </row>
    <row r="179" ht="14.25" customHeight="1">
      <c r="A179" s="44"/>
      <c r="B179" s="12"/>
      <c r="C179" s="12"/>
      <c r="D179" s="12"/>
      <c r="E179" s="12"/>
      <c r="F179" s="12"/>
      <c r="G179" s="10"/>
      <c r="H179" s="8"/>
      <c r="I179" s="12"/>
      <c r="J179" s="8"/>
      <c r="K179" s="8"/>
      <c r="L179" s="8"/>
      <c r="M179" s="8"/>
      <c r="N179" s="8"/>
      <c r="O179" s="8"/>
      <c r="P179" s="12"/>
      <c r="Q179" s="8"/>
      <c r="R179" s="12"/>
      <c r="T179" s="12"/>
      <c r="AH179" s="8"/>
      <c r="AI179" s="8"/>
      <c r="AJ179" s="8"/>
    </row>
    <row r="180" ht="14.25" customHeight="1">
      <c r="A180" s="44"/>
      <c r="B180" s="12"/>
      <c r="C180" s="12"/>
      <c r="D180" s="12"/>
      <c r="E180" s="12"/>
      <c r="F180" s="12"/>
      <c r="G180" s="10"/>
      <c r="H180" s="8"/>
      <c r="I180" s="12"/>
      <c r="J180" s="8"/>
      <c r="K180" s="8"/>
      <c r="L180" s="8"/>
      <c r="M180" s="8"/>
      <c r="N180" s="8"/>
      <c r="O180" s="8"/>
      <c r="P180" s="12"/>
      <c r="Q180" s="8"/>
      <c r="R180" s="12"/>
      <c r="T180" s="12"/>
      <c r="AH180" s="8"/>
      <c r="AI180" s="8"/>
      <c r="AJ180" s="8"/>
    </row>
    <row r="181" ht="14.25" customHeight="1">
      <c r="A181" s="44"/>
      <c r="B181" s="12"/>
      <c r="C181" s="12"/>
      <c r="D181" s="12"/>
      <c r="E181" s="12"/>
      <c r="F181" s="12"/>
      <c r="G181" s="10"/>
      <c r="H181" s="8"/>
      <c r="I181" s="12"/>
      <c r="J181" s="8"/>
      <c r="K181" s="8"/>
      <c r="L181" s="8"/>
      <c r="M181" s="8"/>
      <c r="N181" s="8"/>
      <c r="O181" s="8"/>
      <c r="P181" s="12"/>
      <c r="Q181" s="8"/>
      <c r="R181" s="12"/>
      <c r="T181" s="12"/>
      <c r="AH181" s="8"/>
      <c r="AI181" s="8"/>
      <c r="AJ181" s="8"/>
    </row>
    <row r="182" ht="14.25" customHeight="1">
      <c r="A182" s="44"/>
      <c r="B182" s="12"/>
      <c r="C182" s="12"/>
      <c r="D182" s="12"/>
      <c r="E182" s="12"/>
      <c r="F182" s="12"/>
      <c r="G182" s="10"/>
      <c r="H182" s="8"/>
      <c r="I182" s="12"/>
      <c r="J182" s="8"/>
      <c r="K182" s="8"/>
      <c r="L182" s="8"/>
      <c r="M182" s="8"/>
      <c r="N182" s="8"/>
      <c r="O182" s="8"/>
      <c r="P182" s="12"/>
      <c r="Q182" s="8"/>
      <c r="R182" s="12"/>
      <c r="T182" s="12"/>
      <c r="AH182" s="8"/>
      <c r="AI182" s="8"/>
      <c r="AJ182" s="8"/>
    </row>
    <row r="183" ht="14.25" customHeight="1">
      <c r="A183" s="44"/>
      <c r="B183" s="12"/>
      <c r="C183" s="12"/>
      <c r="D183" s="12"/>
      <c r="E183" s="12"/>
      <c r="F183" s="12"/>
      <c r="G183" s="10"/>
      <c r="H183" s="8"/>
      <c r="I183" s="12"/>
      <c r="J183" s="8"/>
      <c r="K183" s="8"/>
      <c r="L183" s="8"/>
      <c r="M183" s="8"/>
      <c r="N183" s="8"/>
      <c r="O183" s="8"/>
      <c r="P183" s="12"/>
      <c r="Q183" s="8"/>
      <c r="R183" s="12"/>
      <c r="T183" s="12"/>
      <c r="AH183" s="8"/>
      <c r="AI183" s="8"/>
      <c r="AJ183" s="8"/>
    </row>
    <row r="184" ht="14.25" customHeight="1">
      <c r="A184" s="44"/>
      <c r="B184" s="12"/>
      <c r="C184" s="12"/>
      <c r="D184" s="12"/>
      <c r="E184" s="12"/>
      <c r="F184" s="12"/>
      <c r="G184" s="10"/>
      <c r="H184" s="8"/>
      <c r="I184" s="12"/>
      <c r="J184" s="8"/>
      <c r="K184" s="8"/>
      <c r="L184" s="8"/>
      <c r="M184" s="8"/>
      <c r="N184" s="8"/>
      <c r="O184" s="8"/>
      <c r="P184" s="12"/>
      <c r="Q184" s="8"/>
      <c r="R184" s="12"/>
      <c r="T184" s="12"/>
      <c r="AH184" s="8"/>
      <c r="AI184" s="8"/>
      <c r="AJ184" s="8"/>
    </row>
    <row r="185" ht="14.25" customHeight="1">
      <c r="A185" s="44"/>
      <c r="B185" s="12"/>
      <c r="C185" s="12"/>
      <c r="D185" s="12"/>
      <c r="E185" s="12"/>
      <c r="F185" s="12"/>
      <c r="G185" s="10"/>
      <c r="H185" s="8"/>
      <c r="I185" s="12"/>
      <c r="J185" s="8"/>
      <c r="K185" s="8"/>
      <c r="L185" s="8"/>
      <c r="M185" s="8"/>
      <c r="N185" s="8"/>
      <c r="O185" s="8"/>
      <c r="P185" s="12"/>
      <c r="Q185" s="8"/>
      <c r="R185" s="12"/>
      <c r="T185" s="12"/>
      <c r="AH185" s="8"/>
      <c r="AI185" s="8"/>
      <c r="AJ185" s="8"/>
    </row>
    <row r="186" ht="14.25" customHeight="1">
      <c r="A186" s="44"/>
      <c r="B186" s="12"/>
      <c r="C186" s="12"/>
      <c r="D186" s="12"/>
      <c r="E186" s="12"/>
      <c r="F186" s="12"/>
      <c r="G186" s="10"/>
      <c r="H186" s="8"/>
      <c r="I186" s="12"/>
      <c r="J186" s="8"/>
      <c r="K186" s="8"/>
      <c r="L186" s="8"/>
      <c r="M186" s="8"/>
      <c r="N186" s="8"/>
      <c r="O186" s="8"/>
      <c r="P186" s="12"/>
      <c r="Q186" s="8"/>
      <c r="R186" s="12"/>
      <c r="T186" s="12"/>
      <c r="AH186" s="8"/>
      <c r="AI186" s="8"/>
      <c r="AJ186" s="8"/>
    </row>
    <row r="187" ht="14.25" customHeight="1">
      <c r="A187" s="44"/>
      <c r="B187" s="12"/>
      <c r="C187" s="12"/>
      <c r="D187" s="12"/>
      <c r="E187" s="12"/>
      <c r="F187" s="12"/>
      <c r="G187" s="10"/>
      <c r="H187" s="8"/>
      <c r="I187" s="12"/>
      <c r="J187" s="8"/>
      <c r="K187" s="8"/>
      <c r="L187" s="8"/>
      <c r="M187" s="8"/>
      <c r="N187" s="8"/>
      <c r="O187" s="8"/>
      <c r="P187" s="12"/>
      <c r="Q187" s="8"/>
      <c r="R187" s="12"/>
      <c r="T187" s="12"/>
      <c r="AH187" s="8"/>
      <c r="AI187" s="8"/>
      <c r="AJ187" s="8"/>
    </row>
    <row r="188" ht="14.25" customHeight="1">
      <c r="A188" s="44"/>
      <c r="B188" s="12"/>
      <c r="C188" s="12"/>
      <c r="D188" s="12"/>
      <c r="E188" s="12"/>
      <c r="F188" s="12"/>
      <c r="G188" s="10"/>
      <c r="H188" s="8"/>
      <c r="I188" s="12"/>
      <c r="J188" s="8"/>
      <c r="K188" s="8"/>
      <c r="L188" s="8"/>
      <c r="M188" s="8"/>
      <c r="N188" s="8"/>
      <c r="O188" s="8"/>
      <c r="P188" s="12"/>
      <c r="Q188" s="8"/>
      <c r="R188" s="12"/>
      <c r="T188" s="12"/>
      <c r="AH188" s="8"/>
      <c r="AI188" s="8"/>
      <c r="AJ188" s="8"/>
    </row>
    <row r="189" ht="14.25" customHeight="1">
      <c r="A189" s="44"/>
      <c r="B189" s="12"/>
      <c r="C189" s="12"/>
      <c r="D189" s="12"/>
      <c r="E189" s="12"/>
      <c r="F189" s="12"/>
      <c r="G189" s="10"/>
      <c r="H189" s="8"/>
      <c r="I189" s="12"/>
      <c r="J189" s="8"/>
      <c r="K189" s="8"/>
      <c r="L189" s="8"/>
      <c r="M189" s="8"/>
      <c r="N189" s="8"/>
      <c r="O189" s="8"/>
      <c r="P189" s="12"/>
      <c r="Q189" s="8"/>
      <c r="R189" s="12"/>
      <c r="T189" s="12"/>
      <c r="AH189" s="8"/>
      <c r="AI189" s="8"/>
      <c r="AJ189" s="8"/>
    </row>
    <row r="190" ht="14.25" customHeight="1">
      <c r="A190" s="44"/>
      <c r="B190" s="12"/>
      <c r="C190" s="12"/>
      <c r="D190" s="12"/>
      <c r="E190" s="12"/>
      <c r="F190" s="12"/>
      <c r="G190" s="10"/>
      <c r="H190" s="8"/>
      <c r="I190" s="12"/>
      <c r="J190" s="8"/>
      <c r="K190" s="8"/>
      <c r="L190" s="8"/>
      <c r="M190" s="8"/>
      <c r="N190" s="8"/>
      <c r="O190" s="8"/>
      <c r="P190" s="12"/>
      <c r="Q190" s="8"/>
      <c r="R190" s="12"/>
      <c r="T190" s="12"/>
      <c r="AH190" s="8"/>
      <c r="AI190" s="8"/>
      <c r="AJ190" s="8"/>
    </row>
    <row r="191" ht="14.25" customHeight="1">
      <c r="A191" s="44"/>
      <c r="B191" s="12"/>
      <c r="C191" s="12"/>
      <c r="D191" s="12"/>
      <c r="E191" s="12"/>
      <c r="F191" s="12"/>
      <c r="G191" s="10"/>
      <c r="H191" s="8"/>
      <c r="I191" s="12"/>
      <c r="J191" s="8"/>
      <c r="K191" s="8"/>
      <c r="L191" s="8"/>
      <c r="M191" s="8"/>
      <c r="N191" s="8"/>
      <c r="O191" s="8"/>
      <c r="P191" s="12"/>
      <c r="Q191" s="8"/>
      <c r="R191" s="12"/>
      <c r="T191" s="12"/>
      <c r="AH191" s="8"/>
      <c r="AI191" s="8"/>
      <c r="AJ191" s="8"/>
    </row>
    <row r="192" ht="14.25" customHeight="1">
      <c r="A192" s="44"/>
      <c r="B192" s="12"/>
      <c r="C192" s="12"/>
      <c r="D192" s="12"/>
      <c r="E192" s="12"/>
      <c r="F192" s="12"/>
      <c r="G192" s="10"/>
      <c r="H192" s="8"/>
      <c r="I192" s="12"/>
      <c r="J192" s="8"/>
      <c r="K192" s="8"/>
      <c r="L192" s="8"/>
      <c r="M192" s="8"/>
      <c r="N192" s="8"/>
      <c r="O192" s="8"/>
      <c r="P192" s="12"/>
      <c r="Q192" s="8"/>
      <c r="R192" s="12"/>
      <c r="T192" s="12"/>
      <c r="AH192" s="8"/>
      <c r="AI192" s="8"/>
      <c r="AJ192" s="8"/>
    </row>
    <row r="193" ht="14.25" customHeight="1">
      <c r="A193" s="44"/>
      <c r="B193" s="12"/>
      <c r="C193" s="12"/>
      <c r="D193" s="12"/>
      <c r="E193" s="12"/>
      <c r="F193" s="12"/>
      <c r="G193" s="10"/>
      <c r="H193" s="8"/>
      <c r="I193" s="12"/>
      <c r="J193" s="8"/>
      <c r="K193" s="8"/>
      <c r="L193" s="8"/>
      <c r="M193" s="8"/>
      <c r="N193" s="8"/>
      <c r="O193" s="8"/>
      <c r="P193" s="12"/>
      <c r="Q193" s="8"/>
      <c r="R193" s="12"/>
      <c r="T193" s="12"/>
      <c r="AH193" s="8"/>
      <c r="AI193" s="8"/>
      <c r="AJ193" s="8"/>
    </row>
    <row r="194" ht="14.25" customHeight="1">
      <c r="A194" s="44"/>
      <c r="B194" s="12"/>
      <c r="C194" s="12"/>
      <c r="D194" s="12"/>
      <c r="E194" s="12"/>
      <c r="F194" s="12"/>
      <c r="G194" s="10"/>
      <c r="H194" s="8"/>
      <c r="I194" s="12"/>
      <c r="J194" s="8"/>
      <c r="K194" s="8"/>
      <c r="L194" s="8"/>
      <c r="M194" s="8"/>
      <c r="N194" s="8"/>
      <c r="O194" s="8"/>
      <c r="P194" s="12"/>
      <c r="Q194" s="8"/>
      <c r="R194" s="12"/>
      <c r="T194" s="12"/>
      <c r="AH194" s="8"/>
      <c r="AI194" s="8"/>
      <c r="AJ194" s="8"/>
    </row>
    <row r="195" ht="14.25" customHeight="1">
      <c r="A195" s="44"/>
      <c r="B195" s="12"/>
      <c r="C195" s="12"/>
      <c r="D195" s="12"/>
      <c r="E195" s="12"/>
      <c r="F195" s="12"/>
      <c r="G195" s="10"/>
      <c r="H195" s="8"/>
      <c r="I195" s="12"/>
      <c r="J195" s="8"/>
      <c r="K195" s="8"/>
      <c r="L195" s="8"/>
      <c r="M195" s="8"/>
      <c r="N195" s="8"/>
      <c r="O195" s="8"/>
      <c r="P195" s="12"/>
      <c r="Q195" s="8"/>
      <c r="R195" s="12"/>
      <c r="T195" s="12"/>
      <c r="AH195" s="8"/>
      <c r="AI195" s="8"/>
      <c r="AJ195" s="8"/>
    </row>
    <row r="196" ht="14.25" customHeight="1">
      <c r="A196" s="44"/>
      <c r="B196" s="12"/>
      <c r="C196" s="12"/>
      <c r="D196" s="12"/>
      <c r="E196" s="12"/>
      <c r="F196" s="12"/>
      <c r="G196" s="10"/>
      <c r="H196" s="8"/>
      <c r="I196" s="12"/>
      <c r="J196" s="8"/>
      <c r="K196" s="8"/>
      <c r="L196" s="8"/>
      <c r="M196" s="8"/>
      <c r="N196" s="8"/>
      <c r="O196" s="8"/>
      <c r="P196" s="12"/>
      <c r="Q196" s="8"/>
      <c r="R196" s="12"/>
      <c r="T196" s="12"/>
      <c r="AH196" s="8"/>
      <c r="AI196" s="8"/>
      <c r="AJ196" s="8"/>
    </row>
    <row r="197" ht="14.25" customHeight="1">
      <c r="A197" s="44"/>
      <c r="B197" s="12"/>
      <c r="C197" s="12"/>
      <c r="D197" s="12"/>
      <c r="E197" s="12"/>
      <c r="F197" s="12"/>
      <c r="G197" s="10"/>
      <c r="H197" s="8"/>
      <c r="I197" s="12"/>
      <c r="J197" s="8"/>
      <c r="K197" s="8"/>
      <c r="L197" s="8"/>
      <c r="M197" s="8"/>
      <c r="N197" s="8"/>
      <c r="O197" s="8"/>
      <c r="P197" s="12"/>
      <c r="Q197" s="8"/>
      <c r="R197" s="12"/>
      <c r="T197" s="12"/>
      <c r="AH197" s="8"/>
      <c r="AI197" s="8"/>
      <c r="AJ197" s="8"/>
    </row>
    <row r="198" ht="14.25" customHeight="1">
      <c r="A198" s="44"/>
      <c r="B198" s="12"/>
      <c r="C198" s="12"/>
      <c r="D198" s="12"/>
      <c r="E198" s="12"/>
      <c r="F198" s="12"/>
      <c r="G198" s="10"/>
      <c r="H198" s="8"/>
      <c r="I198" s="12"/>
      <c r="J198" s="8"/>
      <c r="K198" s="8"/>
      <c r="L198" s="8"/>
      <c r="M198" s="8"/>
      <c r="N198" s="8"/>
      <c r="O198" s="8"/>
      <c r="P198" s="12"/>
      <c r="Q198" s="8"/>
      <c r="R198" s="12"/>
      <c r="T198" s="12"/>
      <c r="AH198" s="8"/>
      <c r="AI198" s="8"/>
      <c r="AJ198" s="8"/>
    </row>
    <row r="199" ht="14.25" customHeight="1">
      <c r="A199" s="44"/>
      <c r="B199" s="12"/>
      <c r="C199" s="12"/>
      <c r="D199" s="12"/>
      <c r="E199" s="12"/>
      <c r="F199" s="12"/>
      <c r="G199" s="10"/>
      <c r="H199" s="8"/>
      <c r="I199" s="12"/>
      <c r="J199" s="8"/>
      <c r="K199" s="8"/>
      <c r="L199" s="8"/>
      <c r="M199" s="8"/>
      <c r="N199" s="8"/>
      <c r="O199" s="8"/>
      <c r="P199" s="12"/>
      <c r="Q199" s="8"/>
      <c r="R199" s="12"/>
      <c r="T199" s="12"/>
      <c r="AH199" s="8"/>
      <c r="AI199" s="8"/>
      <c r="AJ199" s="8"/>
    </row>
    <row r="200" ht="14.25" customHeight="1">
      <c r="A200" s="44"/>
      <c r="B200" s="12"/>
      <c r="C200" s="12"/>
      <c r="D200" s="12"/>
      <c r="E200" s="12"/>
      <c r="F200" s="12"/>
      <c r="G200" s="10"/>
      <c r="H200" s="8"/>
      <c r="I200" s="12"/>
      <c r="J200" s="8"/>
      <c r="K200" s="8"/>
      <c r="L200" s="8"/>
      <c r="M200" s="8"/>
      <c r="N200" s="8"/>
      <c r="O200" s="8"/>
      <c r="P200" s="12"/>
      <c r="Q200" s="8"/>
      <c r="R200" s="12"/>
      <c r="T200" s="12"/>
      <c r="AH200" s="8"/>
      <c r="AI200" s="8"/>
      <c r="AJ200" s="8"/>
    </row>
    <row r="201" ht="14.25" customHeight="1">
      <c r="A201" s="44"/>
      <c r="B201" s="12"/>
      <c r="C201" s="12"/>
      <c r="D201" s="12"/>
      <c r="E201" s="12"/>
      <c r="F201" s="12"/>
      <c r="G201" s="10"/>
      <c r="H201" s="8"/>
      <c r="I201" s="12"/>
      <c r="J201" s="8"/>
      <c r="K201" s="8"/>
      <c r="L201" s="8"/>
      <c r="M201" s="8"/>
      <c r="N201" s="8"/>
      <c r="O201" s="8"/>
      <c r="P201" s="12"/>
      <c r="Q201" s="8"/>
      <c r="R201" s="12"/>
      <c r="T201" s="12"/>
      <c r="AH201" s="8"/>
      <c r="AI201" s="8"/>
      <c r="AJ201" s="8"/>
    </row>
    <row r="202" ht="14.25" customHeight="1">
      <c r="A202" s="44"/>
      <c r="B202" s="12"/>
      <c r="C202" s="12"/>
      <c r="D202" s="12"/>
      <c r="E202" s="12"/>
      <c r="F202" s="12"/>
      <c r="G202" s="10"/>
      <c r="H202" s="8"/>
      <c r="I202" s="12"/>
      <c r="J202" s="8"/>
      <c r="K202" s="8"/>
      <c r="L202" s="8"/>
      <c r="M202" s="8"/>
      <c r="N202" s="8"/>
      <c r="O202" s="8"/>
      <c r="P202" s="12"/>
      <c r="Q202" s="8"/>
      <c r="R202" s="12"/>
      <c r="T202" s="12"/>
      <c r="AH202" s="8"/>
      <c r="AI202" s="8"/>
      <c r="AJ202" s="8"/>
    </row>
    <row r="203" ht="14.25" customHeight="1">
      <c r="A203" s="44"/>
      <c r="B203" s="12"/>
      <c r="C203" s="12"/>
      <c r="D203" s="12"/>
      <c r="E203" s="12"/>
      <c r="F203" s="12"/>
      <c r="G203" s="10"/>
      <c r="H203" s="8"/>
      <c r="I203" s="12"/>
      <c r="J203" s="8"/>
      <c r="K203" s="8"/>
      <c r="L203" s="8"/>
      <c r="M203" s="8"/>
      <c r="N203" s="8"/>
      <c r="O203" s="8"/>
      <c r="P203" s="12"/>
      <c r="Q203" s="8"/>
      <c r="R203" s="12"/>
      <c r="T203" s="12"/>
      <c r="AH203" s="8"/>
      <c r="AI203" s="8"/>
      <c r="AJ203" s="8"/>
    </row>
    <row r="204" ht="14.25" customHeight="1">
      <c r="A204" s="44"/>
      <c r="B204" s="12"/>
      <c r="C204" s="12"/>
      <c r="D204" s="12"/>
      <c r="E204" s="12"/>
      <c r="F204" s="12"/>
      <c r="G204" s="10"/>
      <c r="H204" s="8"/>
      <c r="I204" s="12"/>
      <c r="J204" s="8"/>
      <c r="K204" s="8"/>
      <c r="L204" s="8"/>
      <c r="M204" s="8"/>
      <c r="N204" s="8"/>
      <c r="O204" s="8"/>
      <c r="P204" s="12"/>
      <c r="Q204" s="8"/>
      <c r="R204" s="12"/>
      <c r="T204" s="12"/>
      <c r="AH204" s="8"/>
      <c r="AI204" s="8"/>
      <c r="AJ204" s="8"/>
    </row>
    <row r="205" ht="14.25" customHeight="1">
      <c r="A205" s="44"/>
      <c r="B205" s="12"/>
      <c r="C205" s="12"/>
      <c r="D205" s="12"/>
      <c r="E205" s="12"/>
      <c r="F205" s="12"/>
      <c r="G205" s="10"/>
      <c r="H205" s="8"/>
      <c r="I205" s="12"/>
      <c r="J205" s="8"/>
      <c r="K205" s="8"/>
      <c r="L205" s="8"/>
      <c r="M205" s="8"/>
      <c r="N205" s="8"/>
      <c r="O205" s="8"/>
      <c r="P205" s="12"/>
      <c r="Q205" s="8"/>
      <c r="R205" s="12"/>
      <c r="T205" s="12"/>
      <c r="AH205" s="8"/>
      <c r="AI205" s="8"/>
      <c r="AJ205" s="8"/>
    </row>
    <row r="206" ht="14.25" customHeight="1">
      <c r="A206" s="44"/>
      <c r="B206" s="12"/>
      <c r="C206" s="12"/>
      <c r="D206" s="12"/>
      <c r="E206" s="12"/>
      <c r="F206" s="12"/>
      <c r="G206" s="10"/>
      <c r="H206" s="8"/>
      <c r="I206" s="12"/>
      <c r="J206" s="8"/>
      <c r="K206" s="8"/>
      <c r="L206" s="8"/>
      <c r="M206" s="8"/>
      <c r="N206" s="8"/>
      <c r="O206" s="8"/>
      <c r="P206" s="12"/>
      <c r="Q206" s="8"/>
      <c r="R206" s="12"/>
      <c r="T206" s="12"/>
      <c r="AH206" s="8"/>
      <c r="AI206" s="8"/>
      <c r="AJ206" s="8"/>
    </row>
    <row r="207" ht="14.25" customHeight="1">
      <c r="A207" s="44"/>
      <c r="B207" s="12"/>
      <c r="C207" s="12"/>
      <c r="D207" s="12"/>
      <c r="E207" s="12"/>
      <c r="F207" s="12"/>
      <c r="G207" s="10"/>
      <c r="H207" s="8"/>
      <c r="I207" s="12"/>
      <c r="J207" s="8"/>
      <c r="K207" s="8"/>
      <c r="L207" s="8"/>
      <c r="M207" s="8"/>
      <c r="N207" s="8"/>
      <c r="O207" s="8"/>
      <c r="P207" s="12"/>
      <c r="Q207" s="8"/>
      <c r="R207" s="12"/>
      <c r="T207" s="12"/>
      <c r="AH207" s="8"/>
      <c r="AI207" s="8"/>
      <c r="AJ207" s="8"/>
    </row>
    <row r="208" ht="14.25" customHeight="1">
      <c r="A208" s="44"/>
      <c r="B208" s="12"/>
      <c r="C208" s="12"/>
      <c r="D208" s="12"/>
      <c r="E208" s="12"/>
      <c r="F208" s="12"/>
      <c r="G208" s="10"/>
      <c r="H208" s="8"/>
      <c r="I208" s="12"/>
      <c r="J208" s="8"/>
      <c r="K208" s="8"/>
      <c r="L208" s="8"/>
      <c r="M208" s="8"/>
      <c r="N208" s="8"/>
      <c r="O208" s="8"/>
      <c r="P208" s="12"/>
      <c r="Q208" s="8"/>
      <c r="R208" s="12"/>
      <c r="T208" s="12"/>
      <c r="AH208" s="8"/>
      <c r="AI208" s="8"/>
      <c r="AJ208" s="8"/>
    </row>
    <row r="209" ht="14.25" customHeight="1">
      <c r="A209" s="44"/>
      <c r="B209" s="12"/>
      <c r="C209" s="12"/>
      <c r="D209" s="12"/>
      <c r="E209" s="12"/>
      <c r="F209" s="12"/>
      <c r="G209" s="10"/>
      <c r="H209" s="8"/>
      <c r="I209" s="12"/>
      <c r="J209" s="8"/>
      <c r="K209" s="8"/>
      <c r="L209" s="8"/>
      <c r="M209" s="8"/>
      <c r="N209" s="8"/>
      <c r="O209" s="8"/>
      <c r="P209" s="12"/>
      <c r="Q209" s="8"/>
      <c r="R209" s="12"/>
      <c r="T209" s="12"/>
      <c r="AH209" s="8"/>
      <c r="AI209" s="8"/>
      <c r="AJ209" s="8"/>
    </row>
    <row r="210" ht="14.25" customHeight="1">
      <c r="A210" s="44"/>
      <c r="B210" s="12"/>
      <c r="C210" s="12"/>
      <c r="D210" s="12"/>
      <c r="E210" s="12"/>
      <c r="F210" s="12"/>
      <c r="G210" s="10"/>
      <c r="H210" s="8"/>
      <c r="I210" s="12"/>
      <c r="J210" s="8"/>
      <c r="K210" s="8"/>
      <c r="L210" s="8"/>
      <c r="M210" s="8"/>
      <c r="N210" s="8"/>
      <c r="O210" s="8"/>
      <c r="P210" s="12"/>
      <c r="Q210" s="8"/>
      <c r="R210" s="12"/>
      <c r="T210" s="12"/>
      <c r="AH210" s="8"/>
      <c r="AI210" s="8"/>
      <c r="AJ210" s="8"/>
    </row>
    <row r="211" ht="14.25" customHeight="1">
      <c r="A211" s="44"/>
      <c r="B211" s="12"/>
      <c r="C211" s="12"/>
      <c r="D211" s="12"/>
      <c r="E211" s="12"/>
      <c r="F211" s="12"/>
      <c r="G211" s="10"/>
      <c r="H211" s="8"/>
      <c r="I211" s="12"/>
      <c r="J211" s="8"/>
      <c r="K211" s="8"/>
      <c r="L211" s="8"/>
      <c r="M211" s="8"/>
      <c r="N211" s="8"/>
      <c r="O211" s="8"/>
      <c r="P211" s="12"/>
      <c r="Q211" s="8"/>
      <c r="R211" s="12"/>
      <c r="T211" s="12"/>
      <c r="AH211" s="8"/>
      <c r="AI211" s="8"/>
      <c r="AJ211" s="8"/>
    </row>
    <row r="212" ht="14.25" customHeight="1">
      <c r="A212" s="44"/>
      <c r="B212" s="12"/>
      <c r="C212" s="12"/>
      <c r="D212" s="12"/>
      <c r="E212" s="12"/>
      <c r="F212" s="12"/>
      <c r="G212" s="10"/>
      <c r="H212" s="8"/>
      <c r="I212" s="12"/>
      <c r="J212" s="8"/>
      <c r="K212" s="8"/>
      <c r="L212" s="8"/>
      <c r="M212" s="8"/>
      <c r="N212" s="8"/>
      <c r="O212" s="8"/>
      <c r="P212" s="12"/>
      <c r="Q212" s="8"/>
      <c r="R212" s="12"/>
      <c r="T212" s="12"/>
      <c r="AH212" s="8"/>
      <c r="AI212" s="8"/>
      <c r="AJ212" s="8"/>
    </row>
    <row r="213" ht="14.25" customHeight="1">
      <c r="A213" s="44"/>
      <c r="B213" s="12"/>
      <c r="C213" s="12"/>
      <c r="D213" s="12"/>
      <c r="E213" s="12"/>
      <c r="F213" s="12"/>
      <c r="G213" s="10"/>
      <c r="H213" s="8"/>
      <c r="I213" s="12"/>
      <c r="J213" s="8"/>
      <c r="K213" s="8"/>
      <c r="L213" s="8"/>
      <c r="M213" s="8"/>
      <c r="N213" s="8"/>
      <c r="O213" s="8"/>
      <c r="P213" s="12"/>
      <c r="Q213" s="8"/>
      <c r="R213" s="12"/>
      <c r="T213" s="12"/>
      <c r="AH213" s="8"/>
      <c r="AI213" s="8"/>
      <c r="AJ213" s="8"/>
    </row>
    <row r="214" ht="14.25" customHeight="1">
      <c r="A214" s="44"/>
      <c r="B214" s="12"/>
      <c r="C214" s="12"/>
      <c r="D214" s="12"/>
      <c r="E214" s="12"/>
      <c r="F214" s="12"/>
      <c r="G214" s="10"/>
      <c r="H214" s="8"/>
      <c r="I214" s="12"/>
      <c r="J214" s="8"/>
      <c r="K214" s="8"/>
      <c r="L214" s="8"/>
      <c r="M214" s="8"/>
      <c r="N214" s="8"/>
      <c r="O214" s="8"/>
      <c r="P214" s="12"/>
      <c r="Q214" s="8"/>
      <c r="R214" s="12"/>
      <c r="T214" s="12"/>
      <c r="AH214" s="8"/>
      <c r="AI214" s="8"/>
      <c r="AJ214" s="8"/>
    </row>
    <row r="215" ht="14.25" customHeight="1">
      <c r="A215" s="44"/>
      <c r="B215" s="12"/>
      <c r="C215" s="12"/>
      <c r="D215" s="12"/>
      <c r="E215" s="12"/>
      <c r="F215" s="12"/>
      <c r="G215" s="10"/>
      <c r="H215" s="8"/>
      <c r="I215" s="12"/>
      <c r="J215" s="8"/>
      <c r="K215" s="8"/>
      <c r="L215" s="8"/>
      <c r="M215" s="8"/>
      <c r="N215" s="8"/>
      <c r="O215" s="8"/>
      <c r="P215" s="12"/>
      <c r="Q215" s="8"/>
      <c r="R215" s="12"/>
      <c r="T215" s="12"/>
      <c r="AH215" s="8"/>
      <c r="AI215" s="8"/>
      <c r="AJ215" s="8"/>
    </row>
    <row r="216" ht="14.25" customHeight="1">
      <c r="A216" s="44"/>
      <c r="B216" s="12"/>
      <c r="C216" s="12"/>
      <c r="D216" s="12"/>
      <c r="E216" s="12"/>
      <c r="F216" s="12"/>
      <c r="G216" s="10"/>
      <c r="H216" s="8"/>
      <c r="I216" s="12"/>
      <c r="J216" s="8"/>
      <c r="K216" s="8"/>
      <c r="L216" s="8"/>
      <c r="M216" s="8"/>
      <c r="N216" s="8"/>
      <c r="O216" s="8"/>
      <c r="P216" s="12"/>
      <c r="Q216" s="8"/>
      <c r="R216" s="12"/>
      <c r="T216" s="12"/>
      <c r="AH216" s="8"/>
      <c r="AI216" s="8"/>
      <c r="AJ216" s="8"/>
    </row>
    <row r="217" ht="14.25" customHeight="1">
      <c r="A217" s="44"/>
      <c r="B217" s="12"/>
      <c r="C217" s="12"/>
      <c r="D217" s="12"/>
      <c r="E217" s="12"/>
      <c r="F217" s="12"/>
      <c r="G217" s="10"/>
      <c r="H217" s="8"/>
      <c r="I217" s="12"/>
      <c r="J217" s="8"/>
      <c r="K217" s="8"/>
      <c r="L217" s="8"/>
      <c r="M217" s="8"/>
      <c r="N217" s="8"/>
      <c r="O217" s="8"/>
      <c r="P217" s="12"/>
      <c r="Q217" s="8"/>
      <c r="R217" s="12"/>
      <c r="T217" s="12"/>
      <c r="AH217" s="8"/>
      <c r="AI217" s="8"/>
      <c r="AJ217" s="8"/>
    </row>
    <row r="218" ht="14.25" customHeight="1">
      <c r="A218" s="44"/>
      <c r="B218" s="12"/>
      <c r="C218" s="12"/>
      <c r="D218" s="12"/>
      <c r="E218" s="12"/>
      <c r="F218" s="12"/>
      <c r="G218" s="10"/>
      <c r="H218" s="8"/>
      <c r="I218" s="12"/>
      <c r="J218" s="8"/>
      <c r="K218" s="8"/>
      <c r="L218" s="8"/>
      <c r="M218" s="8"/>
      <c r="N218" s="8"/>
      <c r="O218" s="8"/>
      <c r="P218" s="12"/>
      <c r="Q218" s="8"/>
      <c r="R218" s="12"/>
      <c r="T218" s="12"/>
      <c r="AH218" s="8"/>
      <c r="AI218" s="8"/>
      <c r="AJ218" s="8"/>
    </row>
    <row r="219" ht="14.25" customHeight="1">
      <c r="A219" s="44"/>
      <c r="B219" s="12"/>
      <c r="C219" s="12"/>
      <c r="D219" s="12"/>
      <c r="E219" s="12"/>
      <c r="F219" s="12"/>
      <c r="G219" s="10"/>
      <c r="H219" s="8"/>
      <c r="I219" s="12"/>
      <c r="J219" s="8"/>
      <c r="K219" s="8"/>
      <c r="L219" s="8"/>
      <c r="M219" s="8"/>
      <c r="N219" s="8"/>
      <c r="O219" s="8"/>
      <c r="P219" s="12"/>
      <c r="Q219" s="8"/>
      <c r="R219" s="12"/>
      <c r="T219" s="12"/>
      <c r="AH219" s="8"/>
      <c r="AI219" s="8"/>
      <c r="AJ219" s="8"/>
    </row>
    <row r="220" ht="14.25" customHeight="1">
      <c r="A220" s="44"/>
      <c r="B220" s="12"/>
      <c r="C220" s="12"/>
      <c r="D220" s="12"/>
      <c r="E220" s="12"/>
      <c r="F220" s="12"/>
      <c r="G220" s="10"/>
      <c r="H220" s="8"/>
      <c r="I220" s="12"/>
      <c r="J220" s="8"/>
      <c r="K220" s="8"/>
      <c r="L220" s="8"/>
      <c r="M220" s="8"/>
      <c r="N220" s="8"/>
      <c r="O220" s="8"/>
      <c r="P220" s="12"/>
      <c r="Q220" s="8"/>
      <c r="R220" s="12"/>
      <c r="T220" s="12"/>
      <c r="AH220" s="8"/>
      <c r="AI220" s="8"/>
      <c r="AJ220" s="8"/>
    </row>
    <row r="221" ht="14.25" customHeight="1">
      <c r="A221" s="44"/>
      <c r="B221" s="12"/>
      <c r="C221" s="12"/>
      <c r="D221" s="12"/>
      <c r="E221" s="12"/>
      <c r="F221" s="12"/>
      <c r="G221" s="10"/>
      <c r="H221" s="8"/>
      <c r="I221" s="12"/>
      <c r="J221" s="8"/>
      <c r="K221" s="8"/>
      <c r="L221" s="8"/>
      <c r="M221" s="8"/>
      <c r="N221" s="8"/>
      <c r="O221" s="8"/>
      <c r="P221" s="12"/>
      <c r="Q221" s="8"/>
      <c r="R221" s="12"/>
      <c r="T221" s="12"/>
      <c r="AH221" s="8"/>
      <c r="AI221" s="8"/>
      <c r="AJ221" s="8"/>
    </row>
    <row r="222" ht="14.25" customHeight="1">
      <c r="A222" s="44"/>
      <c r="B222" s="12"/>
      <c r="C222" s="12"/>
      <c r="D222" s="12"/>
      <c r="E222" s="12"/>
      <c r="F222" s="12"/>
      <c r="G222" s="10"/>
      <c r="H222" s="8"/>
      <c r="I222" s="12"/>
      <c r="J222" s="8"/>
      <c r="K222" s="8"/>
      <c r="L222" s="8"/>
      <c r="M222" s="8"/>
      <c r="N222" s="8"/>
      <c r="O222" s="8"/>
      <c r="P222" s="12"/>
      <c r="Q222" s="8"/>
      <c r="R222" s="12"/>
      <c r="T222" s="12"/>
      <c r="AH222" s="8"/>
      <c r="AI222" s="8"/>
      <c r="AJ222" s="8"/>
    </row>
    <row r="223" ht="14.25" customHeight="1">
      <c r="A223" s="44"/>
      <c r="B223" s="12"/>
      <c r="C223" s="12"/>
      <c r="D223" s="12"/>
      <c r="E223" s="12"/>
      <c r="F223" s="12"/>
      <c r="G223" s="10"/>
      <c r="H223" s="8"/>
      <c r="I223" s="12"/>
      <c r="J223" s="8"/>
      <c r="K223" s="8"/>
      <c r="L223" s="8"/>
      <c r="M223" s="8"/>
      <c r="N223" s="8"/>
      <c r="O223" s="8"/>
      <c r="P223" s="12"/>
      <c r="Q223" s="8"/>
      <c r="R223" s="12"/>
      <c r="T223" s="12"/>
      <c r="AH223" s="8"/>
      <c r="AI223" s="8"/>
      <c r="AJ223" s="8"/>
    </row>
    <row r="224" ht="14.25" customHeight="1">
      <c r="A224" s="44"/>
      <c r="B224" s="12"/>
      <c r="C224" s="12"/>
      <c r="D224" s="12"/>
      <c r="E224" s="12"/>
      <c r="F224" s="12"/>
      <c r="G224" s="10"/>
      <c r="H224" s="8"/>
      <c r="I224" s="12"/>
      <c r="J224" s="8"/>
      <c r="K224" s="8"/>
      <c r="L224" s="8"/>
      <c r="M224" s="8"/>
      <c r="N224" s="8"/>
      <c r="O224" s="8"/>
      <c r="P224" s="12"/>
      <c r="Q224" s="8"/>
      <c r="R224" s="12"/>
      <c r="T224" s="12"/>
      <c r="AH224" s="8"/>
      <c r="AI224" s="8"/>
      <c r="AJ224" s="8"/>
    </row>
    <row r="225" ht="14.25" customHeight="1">
      <c r="A225" s="44"/>
      <c r="B225" s="12"/>
      <c r="C225" s="12"/>
      <c r="D225" s="12"/>
      <c r="E225" s="12"/>
      <c r="F225" s="12"/>
      <c r="G225" s="10"/>
      <c r="H225" s="8"/>
      <c r="I225" s="12"/>
      <c r="J225" s="8"/>
      <c r="K225" s="8"/>
      <c r="L225" s="8"/>
      <c r="M225" s="8"/>
      <c r="N225" s="8"/>
      <c r="O225" s="8"/>
      <c r="P225" s="12"/>
      <c r="Q225" s="8"/>
      <c r="R225" s="12"/>
      <c r="T225" s="12"/>
      <c r="AH225" s="8"/>
      <c r="AI225" s="8"/>
      <c r="AJ225" s="8"/>
    </row>
    <row r="226" ht="14.25" customHeight="1">
      <c r="A226" s="44"/>
      <c r="B226" s="12"/>
      <c r="C226" s="12"/>
      <c r="D226" s="12"/>
      <c r="E226" s="12"/>
      <c r="F226" s="12"/>
      <c r="G226" s="10"/>
      <c r="H226" s="8"/>
      <c r="I226" s="12"/>
      <c r="J226" s="8"/>
      <c r="K226" s="8"/>
      <c r="L226" s="8"/>
      <c r="M226" s="8"/>
      <c r="N226" s="8"/>
      <c r="O226" s="8"/>
      <c r="P226" s="12"/>
      <c r="Q226" s="8"/>
      <c r="R226" s="12"/>
      <c r="T226" s="12"/>
      <c r="AH226" s="8"/>
      <c r="AI226" s="8"/>
      <c r="AJ226" s="8"/>
    </row>
    <row r="227" ht="14.25" customHeight="1">
      <c r="A227" s="44"/>
      <c r="B227" s="12"/>
      <c r="C227" s="12"/>
      <c r="D227" s="12"/>
      <c r="E227" s="12"/>
      <c r="F227" s="12"/>
      <c r="G227" s="10"/>
      <c r="H227" s="8"/>
      <c r="I227" s="12"/>
      <c r="J227" s="8"/>
      <c r="K227" s="8"/>
      <c r="L227" s="8"/>
      <c r="M227" s="8"/>
      <c r="N227" s="8"/>
      <c r="O227" s="8"/>
      <c r="P227" s="12"/>
      <c r="Q227" s="8"/>
      <c r="R227" s="12"/>
      <c r="T227" s="12"/>
      <c r="AH227" s="8"/>
      <c r="AI227" s="8"/>
      <c r="AJ227" s="8"/>
    </row>
    <row r="228" ht="14.25" customHeight="1">
      <c r="A228" s="44"/>
      <c r="B228" s="12"/>
      <c r="C228" s="12"/>
      <c r="D228" s="12"/>
      <c r="E228" s="12"/>
      <c r="F228" s="12"/>
      <c r="G228" s="10"/>
      <c r="H228" s="8"/>
      <c r="I228" s="12"/>
      <c r="J228" s="8"/>
      <c r="K228" s="8"/>
      <c r="L228" s="8"/>
      <c r="M228" s="8"/>
      <c r="N228" s="8"/>
      <c r="O228" s="8"/>
      <c r="P228" s="12"/>
      <c r="Q228" s="8"/>
      <c r="R228" s="12"/>
      <c r="T228" s="12"/>
      <c r="AH228" s="8"/>
      <c r="AI228" s="8"/>
      <c r="AJ228" s="8"/>
    </row>
    <row r="229" ht="14.25" customHeight="1">
      <c r="A229" s="44"/>
      <c r="B229" s="12"/>
      <c r="C229" s="12"/>
      <c r="D229" s="12"/>
      <c r="E229" s="12"/>
      <c r="F229" s="12"/>
      <c r="G229" s="10"/>
      <c r="H229" s="8"/>
      <c r="I229" s="12"/>
      <c r="J229" s="8"/>
      <c r="K229" s="8"/>
      <c r="L229" s="8"/>
      <c r="M229" s="8"/>
      <c r="N229" s="8"/>
      <c r="O229" s="8"/>
      <c r="P229" s="12"/>
      <c r="Q229" s="8"/>
      <c r="R229" s="12"/>
      <c r="T229" s="12"/>
      <c r="AH229" s="8"/>
      <c r="AI229" s="8"/>
      <c r="AJ229" s="8"/>
    </row>
    <row r="230" ht="14.25" customHeight="1">
      <c r="A230" s="44"/>
      <c r="B230" s="12"/>
      <c r="C230" s="12"/>
      <c r="D230" s="12"/>
      <c r="E230" s="12"/>
      <c r="F230" s="12"/>
      <c r="G230" s="10"/>
      <c r="H230" s="8"/>
      <c r="I230" s="12"/>
      <c r="J230" s="8"/>
      <c r="K230" s="8"/>
      <c r="L230" s="8"/>
      <c r="M230" s="8"/>
      <c r="N230" s="8"/>
      <c r="O230" s="8"/>
      <c r="P230" s="12"/>
      <c r="Q230" s="8"/>
      <c r="R230" s="12"/>
      <c r="T230" s="12"/>
      <c r="AH230" s="8"/>
      <c r="AI230" s="8"/>
      <c r="AJ230" s="8"/>
    </row>
    <row r="231" ht="14.25" customHeight="1">
      <c r="A231" s="44"/>
      <c r="B231" s="12"/>
      <c r="C231" s="12"/>
      <c r="D231" s="12"/>
      <c r="E231" s="12"/>
      <c r="F231" s="12"/>
      <c r="G231" s="10"/>
      <c r="H231" s="8"/>
      <c r="I231" s="12"/>
      <c r="J231" s="8"/>
      <c r="K231" s="8"/>
      <c r="L231" s="8"/>
      <c r="M231" s="8"/>
      <c r="N231" s="8"/>
      <c r="O231" s="8"/>
      <c r="P231" s="12"/>
      <c r="Q231" s="8"/>
      <c r="R231" s="12"/>
      <c r="T231" s="12"/>
      <c r="AH231" s="8"/>
      <c r="AI231" s="8"/>
      <c r="AJ231" s="8"/>
    </row>
    <row r="232" ht="14.25" customHeight="1">
      <c r="A232" s="44"/>
      <c r="B232" s="12"/>
      <c r="C232" s="12"/>
      <c r="D232" s="12"/>
      <c r="E232" s="12"/>
      <c r="F232" s="12"/>
      <c r="G232" s="10"/>
      <c r="H232" s="8"/>
      <c r="I232" s="12"/>
      <c r="J232" s="8"/>
      <c r="K232" s="8"/>
      <c r="L232" s="8"/>
      <c r="M232" s="8"/>
      <c r="N232" s="8"/>
      <c r="O232" s="8"/>
      <c r="P232" s="12"/>
      <c r="Q232" s="8"/>
      <c r="R232" s="12"/>
      <c r="T232" s="12"/>
      <c r="AH232" s="8"/>
      <c r="AI232" s="8"/>
      <c r="AJ232" s="8"/>
    </row>
    <row r="233" ht="14.25" customHeight="1">
      <c r="A233" s="44"/>
      <c r="B233" s="12"/>
      <c r="C233" s="12"/>
      <c r="D233" s="12"/>
      <c r="E233" s="12"/>
      <c r="F233" s="12"/>
      <c r="G233" s="10"/>
      <c r="H233" s="8"/>
      <c r="I233" s="12"/>
      <c r="J233" s="8"/>
      <c r="K233" s="8"/>
      <c r="L233" s="8"/>
      <c r="M233" s="8"/>
      <c r="N233" s="8"/>
      <c r="O233" s="8"/>
      <c r="P233" s="12"/>
      <c r="Q233" s="8"/>
      <c r="R233" s="12"/>
      <c r="T233" s="12"/>
      <c r="AH233" s="8"/>
      <c r="AI233" s="8"/>
      <c r="AJ233" s="8"/>
    </row>
    <row r="234" ht="14.25" customHeight="1">
      <c r="A234" s="44"/>
      <c r="B234" s="12"/>
      <c r="C234" s="12"/>
      <c r="D234" s="12"/>
      <c r="E234" s="12"/>
      <c r="F234" s="12"/>
      <c r="G234" s="10"/>
      <c r="H234" s="8"/>
      <c r="I234" s="12"/>
      <c r="J234" s="8"/>
      <c r="K234" s="8"/>
      <c r="L234" s="8"/>
      <c r="M234" s="8"/>
      <c r="N234" s="8"/>
      <c r="O234" s="8"/>
      <c r="P234" s="12"/>
      <c r="Q234" s="8"/>
      <c r="R234" s="12"/>
      <c r="T234" s="12"/>
      <c r="AH234" s="8"/>
      <c r="AI234" s="8"/>
      <c r="AJ234" s="8"/>
    </row>
    <row r="235" ht="14.25" customHeight="1">
      <c r="A235" s="44"/>
      <c r="B235" s="12"/>
      <c r="C235" s="12"/>
      <c r="D235" s="12"/>
      <c r="E235" s="12"/>
      <c r="F235" s="12"/>
      <c r="G235" s="10"/>
      <c r="H235" s="8"/>
      <c r="I235" s="12"/>
      <c r="J235" s="8"/>
      <c r="K235" s="8"/>
      <c r="L235" s="8"/>
      <c r="M235" s="8"/>
      <c r="N235" s="8"/>
      <c r="O235" s="8"/>
      <c r="P235" s="12"/>
      <c r="Q235" s="8"/>
      <c r="R235" s="12"/>
      <c r="T235" s="12"/>
      <c r="AH235" s="8"/>
      <c r="AI235" s="8"/>
      <c r="AJ235" s="8"/>
    </row>
    <row r="236" ht="14.25" customHeight="1">
      <c r="A236" s="44"/>
      <c r="B236" s="12"/>
      <c r="C236" s="12"/>
      <c r="D236" s="12"/>
      <c r="E236" s="12"/>
      <c r="F236" s="12"/>
      <c r="G236" s="10"/>
      <c r="H236" s="8"/>
      <c r="I236" s="12"/>
      <c r="J236" s="8"/>
      <c r="K236" s="8"/>
      <c r="L236" s="8"/>
      <c r="M236" s="8"/>
      <c r="N236" s="8"/>
      <c r="O236" s="8"/>
      <c r="P236" s="12"/>
      <c r="Q236" s="8"/>
      <c r="R236" s="12"/>
      <c r="T236" s="12"/>
      <c r="AH236" s="8"/>
      <c r="AI236" s="8"/>
      <c r="AJ236" s="8"/>
    </row>
    <row r="237" ht="14.25" customHeight="1">
      <c r="A237" s="44"/>
      <c r="B237" s="12"/>
      <c r="C237" s="12"/>
      <c r="D237" s="12"/>
      <c r="E237" s="12"/>
      <c r="F237" s="12"/>
      <c r="G237" s="10"/>
      <c r="H237" s="8"/>
      <c r="I237" s="12"/>
      <c r="J237" s="8"/>
      <c r="K237" s="8"/>
      <c r="L237" s="8"/>
      <c r="M237" s="8"/>
      <c r="N237" s="8"/>
      <c r="O237" s="8"/>
      <c r="P237" s="12"/>
      <c r="Q237" s="8"/>
      <c r="R237" s="12"/>
      <c r="T237" s="12"/>
      <c r="AH237" s="8"/>
      <c r="AI237" s="8"/>
      <c r="AJ237" s="8"/>
    </row>
    <row r="238" ht="14.25" customHeight="1">
      <c r="A238" s="44"/>
      <c r="B238" s="12"/>
      <c r="C238" s="12"/>
      <c r="D238" s="12"/>
      <c r="E238" s="12"/>
      <c r="F238" s="12"/>
      <c r="G238" s="10"/>
      <c r="H238" s="8"/>
      <c r="I238" s="12"/>
      <c r="J238" s="8"/>
      <c r="K238" s="8"/>
      <c r="L238" s="8"/>
      <c r="M238" s="8"/>
      <c r="N238" s="8"/>
      <c r="O238" s="8"/>
      <c r="P238" s="12"/>
      <c r="Q238" s="8"/>
      <c r="R238" s="12"/>
      <c r="T238" s="12"/>
      <c r="AH238" s="8"/>
      <c r="AI238" s="8"/>
      <c r="AJ238" s="8"/>
    </row>
    <row r="239" ht="14.25" customHeight="1">
      <c r="A239" s="44"/>
      <c r="B239" s="12"/>
      <c r="C239" s="12"/>
      <c r="D239" s="12"/>
      <c r="E239" s="12"/>
      <c r="F239" s="12"/>
      <c r="G239" s="10"/>
      <c r="H239" s="8"/>
      <c r="I239" s="12"/>
      <c r="J239" s="8"/>
      <c r="K239" s="8"/>
      <c r="L239" s="8"/>
      <c r="M239" s="8"/>
      <c r="N239" s="8"/>
      <c r="O239" s="8"/>
      <c r="P239" s="12"/>
      <c r="Q239" s="8"/>
      <c r="R239" s="12"/>
      <c r="T239" s="12"/>
      <c r="AH239" s="8"/>
      <c r="AI239" s="8"/>
      <c r="AJ239" s="8"/>
    </row>
    <row r="240" ht="14.25" customHeight="1">
      <c r="A240" s="44"/>
      <c r="B240" s="12"/>
      <c r="C240" s="12"/>
      <c r="D240" s="12"/>
      <c r="E240" s="12"/>
      <c r="F240" s="12"/>
      <c r="G240" s="10"/>
      <c r="H240" s="8"/>
      <c r="I240" s="12"/>
      <c r="J240" s="8"/>
      <c r="K240" s="8"/>
      <c r="L240" s="8"/>
      <c r="M240" s="8"/>
      <c r="N240" s="8"/>
      <c r="O240" s="8"/>
      <c r="P240" s="12"/>
      <c r="Q240" s="8"/>
      <c r="R240" s="12"/>
      <c r="T240" s="12"/>
      <c r="AH240" s="8"/>
      <c r="AI240" s="8"/>
      <c r="AJ240" s="8"/>
    </row>
    <row r="241" ht="14.25" customHeight="1">
      <c r="A241" s="44"/>
      <c r="B241" s="12"/>
      <c r="C241" s="12"/>
      <c r="D241" s="12"/>
      <c r="E241" s="12"/>
      <c r="F241" s="12"/>
      <c r="G241" s="10"/>
      <c r="H241" s="8"/>
      <c r="I241" s="12"/>
      <c r="J241" s="8"/>
      <c r="K241" s="8"/>
      <c r="L241" s="8"/>
      <c r="M241" s="8"/>
      <c r="N241" s="8"/>
      <c r="O241" s="8"/>
      <c r="P241" s="12"/>
      <c r="Q241" s="8"/>
      <c r="R241" s="12"/>
      <c r="T241" s="12"/>
      <c r="AH241" s="8"/>
      <c r="AI241" s="8"/>
      <c r="AJ241" s="8"/>
    </row>
    <row r="242" ht="14.25" customHeight="1">
      <c r="A242" s="44"/>
      <c r="B242" s="12"/>
      <c r="C242" s="12"/>
      <c r="D242" s="12"/>
      <c r="E242" s="12"/>
      <c r="F242" s="12"/>
      <c r="G242" s="10"/>
      <c r="H242" s="8"/>
      <c r="I242" s="12"/>
      <c r="J242" s="8"/>
      <c r="K242" s="8"/>
      <c r="L242" s="8"/>
      <c r="M242" s="8"/>
      <c r="N242" s="8"/>
      <c r="O242" s="8"/>
      <c r="P242" s="12"/>
      <c r="Q242" s="8"/>
      <c r="R242" s="12"/>
      <c r="T242" s="12"/>
      <c r="AH242" s="8"/>
      <c r="AI242" s="8"/>
      <c r="AJ242" s="8"/>
    </row>
    <row r="243" ht="14.25" customHeight="1">
      <c r="A243" s="44"/>
      <c r="B243" s="12"/>
      <c r="C243" s="12"/>
      <c r="D243" s="12"/>
      <c r="E243" s="12"/>
      <c r="F243" s="12"/>
      <c r="G243" s="10"/>
      <c r="H243" s="8"/>
      <c r="I243" s="12"/>
      <c r="J243" s="8"/>
      <c r="K243" s="8"/>
      <c r="L243" s="8"/>
      <c r="M243" s="8"/>
      <c r="N243" s="8"/>
      <c r="O243" s="8"/>
      <c r="P243" s="12"/>
      <c r="Q243" s="8"/>
      <c r="R243" s="12"/>
      <c r="T243" s="12"/>
      <c r="AH243" s="8"/>
      <c r="AI243" s="8"/>
      <c r="AJ243" s="8"/>
    </row>
    <row r="244" ht="14.25" customHeight="1">
      <c r="A244" s="44"/>
      <c r="B244" s="12"/>
      <c r="C244" s="12"/>
      <c r="D244" s="12"/>
      <c r="E244" s="12"/>
      <c r="F244" s="12"/>
      <c r="G244" s="10"/>
      <c r="H244" s="8"/>
      <c r="I244" s="12"/>
      <c r="J244" s="8"/>
      <c r="K244" s="8"/>
      <c r="L244" s="8"/>
      <c r="M244" s="8"/>
      <c r="N244" s="8"/>
      <c r="O244" s="8"/>
      <c r="P244" s="12"/>
      <c r="Q244" s="8"/>
      <c r="R244" s="12"/>
      <c r="T244" s="12"/>
      <c r="AH244" s="8"/>
      <c r="AI244" s="8"/>
      <c r="AJ244" s="8"/>
    </row>
    <row r="245" ht="14.25" customHeight="1">
      <c r="A245" s="44"/>
      <c r="B245" s="12"/>
      <c r="C245" s="12"/>
      <c r="D245" s="12"/>
      <c r="E245" s="12"/>
      <c r="F245" s="12"/>
      <c r="G245" s="10"/>
      <c r="H245" s="8"/>
      <c r="I245" s="12"/>
      <c r="J245" s="8"/>
      <c r="K245" s="8"/>
      <c r="L245" s="8"/>
      <c r="M245" s="8"/>
      <c r="N245" s="8"/>
      <c r="O245" s="8"/>
      <c r="P245" s="12"/>
      <c r="Q245" s="8"/>
      <c r="R245" s="12"/>
      <c r="T245" s="12"/>
      <c r="AH245" s="8"/>
      <c r="AI245" s="8"/>
      <c r="AJ245" s="8"/>
    </row>
    <row r="246" ht="14.25" customHeight="1">
      <c r="A246" s="44"/>
      <c r="B246" s="12"/>
      <c r="C246" s="12"/>
      <c r="D246" s="12"/>
      <c r="E246" s="12"/>
      <c r="F246" s="12"/>
      <c r="G246" s="10"/>
      <c r="H246" s="8"/>
      <c r="I246" s="12"/>
      <c r="J246" s="8"/>
      <c r="K246" s="8"/>
      <c r="L246" s="8"/>
      <c r="M246" s="8"/>
      <c r="N246" s="8"/>
      <c r="O246" s="8"/>
      <c r="P246" s="12"/>
      <c r="Q246" s="8"/>
      <c r="R246" s="12"/>
      <c r="T246" s="12"/>
      <c r="AH246" s="8"/>
      <c r="AI246" s="8"/>
      <c r="AJ246" s="8"/>
    </row>
    <row r="247" ht="14.25" customHeight="1">
      <c r="A247" s="44"/>
      <c r="B247" s="12"/>
      <c r="C247" s="12"/>
      <c r="D247" s="12"/>
      <c r="E247" s="12"/>
      <c r="F247" s="12"/>
      <c r="G247" s="10"/>
      <c r="H247" s="8"/>
      <c r="I247" s="12"/>
      <c r="J247" s="8"/>
      <c r="K247" s="8"/>
      <c r="L247" s="8"/>
      <c r="M247" s="8"/>
      <c r="N247" s="8"/>
      <c r="O247" s="8"/>
      <c r="P247" s="12"/>
      <c r="Q247" s="8"/>
      <c r="R247" s="12"/>
      <c r="T247" s="12"/>
      <c r="AH247" s="8"/>
      <c r="AI247" s="8"/>
      <c r="AJ247" s="8"/>
    </row>
    <row r="248" ht="14.25" customHeight="1">
      <c r="A248" s="44"/>
      <c r="B248" s="12"/>
      <c r="C248" s="12"/>
      <c r="D248" s="12"/>
      <c r="E248" s="12"/>
      <c r="F248" s="12"/>
      <c r="G248" s="10"/>
      <c r="H248" s="8"/>
      <c r="I248" s="12"/>
      <c r="J248" s="8"/>
      <c r="K248" s="8"/>
      <c r="L248" s="8"/>
      <c r="M248" s="8"/>
      <c r="N248" s="8"/>
      <c r="O248" s="8"/>
      <c r="P248" s="12"/>
      <c r="Q248" s="8"/>
      <c r="R248" s="12"/>
      <c r="T248" s="12"/>
      <c r="AH248" s="8"/>
      <c r="AI248" s="8"/>
      <c r="AJ248" s="8"/>
    </row>
    <row r="249" ht="14.25" customHeight="1">
      <c r="A249" s="44"/>
      <c r="B249" s="12"/>
      <c r="C249" s="12"/>
      <c r="D249" s="12"/>
      <c r="E249" s="12"/>
      <c r="F249" s="12"/>
      <c r="G249" s="10"/>
      <c r="H249" s="8"/>
      <c r="I249" s="12"/>
      <c r="J249" s="8"/>
      <c r="K249" s="8"/>
      <c r="L249" s="8"/>
      <c r="M249" s="8"/>
      <c r="N249" s="8"/>
      <c r="O249" s="8"/>
      <c r="P249" s="12"/>
      <c r="Q249" s="8"/>
      <c r="R249" s="12"/>
      <c r="T249" s="12"/>
      <c r="AH249" s="8"/>
      <c r="AI249" s="8"/>
      <c r="AJ249" s="8"/>
    </row>
    <row r="250" ht="14.25" customHeight="1">
      <c r="A250" s="44"/>
      <c r="B250" s="12"/>
      <c r="C250" s="12"/>
      <c r="D250" s="12"/>
      <c r="E250" s="12"/>
      <c r="F250" s="12"/>
      <c r="G250" s="10"/>
      <c r="H250" s="8"/>
      <c r="I250" s="12"/>
      <c r="J250" s="8"/>
      <c r="K250" s="8"/>
      <c r="L250" s="8"/>
      <c r="M250" s="8"/>
      <c r="N250" s="8"/>
      <c r="O250" s="8"/>
      <c r="P250" s="12"/>
      <c r="Q250" s="8"/>
      <c r="R250" s="12"/>
      <c r="T250" s="12"/>
      <c r="AH250" s="8"/>
      <c r="AI250" s="8"/>
      <c r="AJ250" s="8"/>
    </row>
    <row r="251" ht="14.25" customHeight="1">
      <c r="A251" s="44"/>
      <c r="B251" s="12"/>
      <c r="C251" s="12"/>
      <c r="D251" s="12"/>
      <c r="E251" s="12"/>
      <c r="F251" s="12"/>
      <c r="G251" s="10"/>
      <c r="H251" s="8"/>
      <c r="I251" s="12"/>
      <c r="J251" s="8"/>
      <c r="K251" s="8"/>
      <c r="L251" s="8"/>
      <c r="M251" s="8"/>
      <c r="N251" s="8"/>
      <c r="O251" s="8"/>
      <c r="P251" s="12"/>
      <c r="Q251" s="8"/>
      <c r="R251" s="12"/>
      <c r="T251" s="12"/>
      <c r="AH251" s="8"/>
      <c r="AI251" s="8"/>
      <c r="AJ251" s="8"/>
    </row>
    <row r="252" ht="14.25" customHeight="1">
      <c r="A252" s="44"/>
      <c r="B252" s="12"/>
      <c r="C252" s="12"/>
      <c r="D252" s="12"/>
      <c r="E252" s="12"/>
      <c r="F252" s="12"/>
      <c r="G252" s="10"/>
      <c r="H252" s="8"/>
      <c r="I252" s="12"/>
      <c r="J252" s="8"/>
      <c r="K252" s="8"/>
      <c r="L252" s="8"/>
      <c r="M252" s="8"/>
      <c r="N252" s="8"/>
      <c r="O252" s="8"/>
      <c r="P252" s="12"/>
      <c r="Q252" s="8"/>
      <c r="R252" s="12"/>
      <c r="T252" s="12"/>
      <c r="AH252" s="8"/>
      <c r="AI252" s="8"/>
      <c r="AJ252" s="8"/>
    </row>
    <row r="253" ht="14.25" customHeight="1">
      <c r="A253" s="44"/>
      <c r="B253" s="12"/>
      <c r="C253" s="12"/>
      <c r="D253" s="12"/>
      <c r="E253" s="12"/>
      <c r="F253" s="12"/>
      <c r="G253" s="10"/>
      <c r="H253" s="8"/>
      <c r="I253" s="12"/>
      <c r="J253" s="8"/>
      <c r="K253" s="8"/>
      <c r="L253" s="8"/>
      <c r="M253" s="8"/>
      <c r="N253" s="8"/>
      <c r="O253" s="8"/>
      <c r="P253" s="12"/>
      <c r="Q253" s="8"/>
      <c r="R253" s="12"/>
      <c r="T253" s="12"/>
      <c r="AH253" s="8"/>
      <c r="AI253" s="8"/>
      <c r="AJ253" s="8"/>
    </row>
    <row r="254" ht="14.25" customHeight="1">
      <c r="A254" s="44"/>
      <c r="B254" s="12"/>
      <c r="C254" s="12"/>
      <c r="D254" s="12"/>
      <c r="E254" s="12"/>
      <c r="F254" s="12"/>
      <c r="G254" s="10"/>
      <c r="H254" s="8"/>
      <c r="I254" s="12"/>
      <c r="J254" s="8"/>
      <c r="K254" s="8"/>
      <c r="L254" s="8"/>
      <c r="M254" s="8"/>
      <c r="N254" s="8"/>
      <c r="O254" s="8"/>
      <c r="P254" s="12"/>
      <c r="Q254" s="8"/>
      <c r="R254" s="12"/>
      <c r="T254" s="12"/>
      <c r="AH254" s="8"/>
      <c r="AI254" s="8"/>
      <c r="AJ254" s="8"/>
    </row>
    <row r="255" ht="14.25" customHeight="1">
      <c r="A255" s="44"/>
      <c r="B255" s="12"/>
      <c r="C255" s="12"/>
      <c r="D255" s="12"/>
      <c r="E255" s="12"/>
      <c r="F255" s="12"/>
      <c r="G255" s="10"/>
      <c r="H255" s="8"/>
      <c r="I255" s="12"/>
      <c r="J255" s="8"/>
      <c r="K255" s="8"/>
      <c r="L255" s="8"/>
      <c r="M255" s="8"/>
      <c r="N255" s="8"/>
      <c r="O255" s="8"/>
      <c r="P255" s="12"/>
      <c r="Q255" s="8"/>
      <c r="R255" s="12"/>
      <c r="T255" s="12"/>
      <c r="AH255" s="8"/>
      <c r="AI255" s="8"/>
      <c r="AJ255" s="8"/>
    </row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J4:L4"/>
    <mergeCell ref="M4:O4"/>
    <mergeCell ref="P4:R4"/>
    <mergeCell ref="S4:U4"/>
    <mergeCell ref="V4:X4"/>
    <mergeCell ref="Y4:AA4"/>
    <mergeCell ref="D3:I3"/>
    <mergeCell ref="J3:O3"/>
    <mergeCell ref="P3:U3"/>
    <mergeCell ref="V3:AA3"/>
    <mergeCell ref="B4:C4"/>
    <mergeCell ref="D4:F4"/>
    <mergeCell ref="G4:I4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31.29"/>
    <col customWidth="1" min="3" max="3" width="25.0"/>
    <col customWidth="1" min="4" max="6" width="10.86"/>
    <col customWidth="1" min="7" max="7" width="10.14"/>
    <col customWidth="1" min="8" max="8" width="13.43"/>
    <col customWidth="1" min="9" max="9" width="20.14"/>
    <col customWidth="1" min="10" max="10" width="16.71"/>
    <col customWidth="1" min="11" max="11" width="15.71"/>
    <col customWidth="1" min="12" max="12" width="16.43"/>
    <col customWidth="1" min="13" max="13" width="18.29"/>
    <col customWidth="1" min="14" max="14" width="20.71"/>
    <col customWidth="1" min="15" max="15" width="25.0"/>
    <col customWidth="1" min="16" max="16" width="20.0"/>
    <col customWidth="1" min="17" max="17" width="11.29"/>
    <col customWidth="1" min="18" max="18" width="13.71"/>
    <col customWidth="1" min="19" max="20" width="8.71"/>
    <col customWidth="1" min="21" max="21" width="20.14"/>
    <col customWidth="1" min="22" max="22" width="20.0"/>
    <col customWidth="1" min="23" max="24" width="19.86"/>
    <col customWidth="1" min="25" max="25" width="21.71"/>
    <col customWidth="1" min="26" max="26" width="23.71"/>
    <col customWidth="1" min="27" max="27" width="9.14"/>
    <col customWidth="1" min="28" max="28" width="27.57"/>
    <col customWidth="1" min="29" max="29" width="28.86"/>
    <col customWidth="1" min="30" max="30" width="25.0"/>
    <col customWidth="1" min="31" max="33" width="36.29"/>
    <col customWidth="1" min="34" max="34" width="17.14"/>
    <col customWidth="1" min="35" max="35" width="30.86"/>
    <col customWidth="1" min="36" max="36" width="14.86"/>
  </cols>
  <sheetData>
    <row r="1">
      <c r="A1" s="16" t="s">
        <v>9</v>
      </c>
      <c r="B1" s="45" t="s">
        <v>838</v>
      </c>
    </row>
    <row r="2">
      <c r="A2" s="16" t="s">
        <v>10</v>
      </c>
      <c r="B2" s="17" t="s">
        <v>839</v>
      </c>
    </row>
    <row r="3">
      <c r="A3" s="46" t="s">
        <v>12</v>
      </c>
      <c r="B3" s="17" t="s">
        <v>839</v>
      </c>
      <c r="D3" s="20" t="s">
        <v>13</v>
      </c>
      <c r="E3" s="21"/>
      <c r="F3" s="21"/>
      <c r="G3" s="21"/>
      <c r="H3" s="21"/>
      <c r="I3" s="5"/>
      <c r="J3" s="22" t="s">
        <v>14</v>
      </c>
      <c r="K3" s="21"/>
      <c r="L3" s="21"/>
      <c r="M3" s="21"/>
      <c r="N3" s="21"/>
      <c r="O3" s="5"/>
      <c r="P3" s="20" t="s">
        <v>15</v>
      </c>
      <c r="Q3" s="21"/>
      <c r="R3" s="21"/>
      <c r="S3" s="21"/>
      <c r="T3" s="21"/>
      <c r="U3" s="5"/>
      <c r="V3" s="23" t="s">
        <v>16</v>
      </c>
      <c r="W3" s="21"/>
      <c r="X3" s="21"/>
      <c r="Y3" s="21"/>
      <c r="Z3" s="21"/>
      <c r="AA3" s="5"/>
    </row>
    <row r="4" ht="21.75" customHeight="1">
      <c r="B4" s="24" t="s">
        <v>17</v>
      </c>
      <c r="C4" s="25"/>
      <c r="D4" s="26" t="s">
        <v>18</v>
      </c>
      <c r="E4" s="27"/>
      <c r="F4" s="28"/>
      <c r="G4" s="29" t="s">
        <v>19</v>
      </c>
      <c r="H4" s="27"/>
      <c r="I4" s="28"/>
      <c r="J4" s="26" t="s">
        <v>18</v>
      </c>
      <c r="K4" s="27"/>
      <c r="L4" s="28"/>
      <c r="M4" s="29" t="s">
        <v>19</v>
      </c>
      <c r="N4" s="27"/>
      <c r="O4" s="28"/>
      <c r="P4" s="26" t="s">
        <v>18</v>
      </c>
      <c r="Q4" s="27"/>
      <c r="R4" s="28"/>
      <c r="S4" s="29" t="s">
        <v>19</v>
      </c>
      <c r="T4" s="27"/>
      <c r="U4" s="28"/>
      <c r="V4" s="26" t="s">
        <v>18</v>
      </c>
      <c r="W4" s="27"/>
      <c r="X4" s="28"/>
      <c r="Y4" s="29" t="s">
        <v>19</v>
      </c>
      <c r="Z4" s="27"/>
      <c r="AA4" s="28"/>
      <c r="AB4" s="47"/>
      <c r="AC4" s="48"/>
      <c r="AD4" s="49"/>
      <c r="AE4" s="48"/>
      <c r="AF4" s="48"/>
      <c r="AG4" s="48"/>
      <c r="AH4" s="50"/>
      <c r="AI4" s="50"/>
      <c r="AJ4" s="51"/>
    </row>
    <row r="5" ht="18.75" customHeight="1">
      <c r="A5" s="30" t="s">
        <v>20</v>
      </c>
      <c r="B5" s="31" t="s">
        <v>21</v>
      </c>
      <c r="C5" s="32" t="s">
        <v>22</v>
      </c>
      <c r="D5" s="33" t="s">
        <v>23</v>
      </c>
      <c r="E5" s="33" t="s">
        <v>24</v>
      </c>
      <c r="F5" s="33" t="s">
        <v>26</v>
      </c>
      <c r="G5" s="35" t="s">
        <v>23</v>
      </c>
      <c r="H5" s="35" t="s">
        <v>24</v>
      </c>
      <c r="I5" s="35" t="s">
        <v>26</v>
      </c>
      <c r="J5" s="33" t="s">
        <v>23</v>
      </c>
      <c r="K5" s="33" t="s">
        <v>24</v>
      </c>
      <c r="L5" s="33" t="s">
        <v>26</v>
      </c>
      <c r="M5" s="35" t="s">
        <v>23</v>
      </c>
      <c r="N5" s="35" t="s">
        <v>24</v>
      </c>
      <c r="O5" s="35" t="s">
        <v>26</v>
      </c>
      <c r="P5" s="33" t="s">
        <v>23</v>
      </c>
      <c r="Q5" s="33" t="s">
        <v>24</v>
      </c>
      <c r="R5" s="33" t="s">
        <v>26</v>
      </c>
      <c r="S5" s="35" t="s">
        <v>23</v>
      </c>
      <c r="T5" s="35" t="s">
        <v>24</v>
      </c>
      <c r="U5" s="35" t="s">
        <v>26</v>
      </c>
      <c r="V5" s="33" t="s">
        <v>23</v>
      </c>
      <c r="W5" s="33" t="s">
        <v>24</v>
      </c>
      <c r="X5" s="33" t="s">
        <v>26</v>
      </c>
      <c r="Y5" s="35" t="s">
        <v>23</v>
      </c>
      <c r="Z5" s="35" t="s">
        <v>24</v>
      </c>
      <c r="AA5" s="35" t="s">
        <v>26</v>
      </c>
      <c r="AB5" s="52"/>
      <c r="AC5" s="52"/>
      <c r="AD5" s="52"/>
      <c r="AE5" s="52"/>
      <c r="AF5" s="52"/>
      <c r="AG5" s="52"/>
      <c r="AH5" s="53"/>
      <c r="AI5" s="53"/>
      <c r="AJ5" s="53"/>
    </row>
    <row r="6">
      <c r="A6" s="36">
        <f t="shared" ref="A6:A55" si="1">ROW(A1)</f>
        <v>1</v>
      </c>
      <c r="B6" s="17" t="s">
        <v>839</v>
      </c>
      <c r="C6" s="17" t="s">
        <v>839</v>
      </c>
      <c r="D6" s="60"/>
      <c r="E6" s="61"/>
      <c r="F6" s="62"/>
      <c r="G6" s="63"/>
      <c r="H6" s="64"/>
      <c r="I6" s="64"/>
      <c r="J6" s="60"/>
      <c r="K6" s="61"/>
      <c r="L6" s="62"/>
      <c r="M6" s="63"/>
      <c r="N6" s="64"/>
      <c r="O6" s="64"/>
      <c r="P6" s="60"/>
      <c r="Q6" s="61"/>
      <c r="R6" s="62"/>
      <c r="S6" s="63"/>
      <c r="T6" s="64"/>
      <c r="U6" s="64"/>
      <c r="V6" s="60"/>
      <c r="W6" s="61"/>
      <c r="X6" s="62"/>
      <c r="Y6" s="63"/>
      <c r="Z6" s="64"/>
      <c r="AA6" s="64"/>
      <c r="AB6" s="53"/>
      <c r="AC6" s="53"/>
      <c r="AD6" s="53"/>
      <c r="AE6" s="56"/>
      <c r="AF6" s="56"/>
      <c r="AG6" s="56"/>
      <c r="AH6" s="57"/>
      <c r="AI6" s="57"/>
      <c r="AJ6" s="57"/>
    </row>
    <row r="7">
      <c r="A7" s="36">
        <f t="shared" si="1"/>
        <v>2</v>
      </c>
      <c r="B7" s="17" t="s">
        <v>839</v>
      </c>
      <c r="C7" s="17" t="s">
        <v>840</v>
      </c>
      <c r="D7" s="60"/>
      <c r="E7" s="61"/>
      <c r="F7" s="62"/>
      <c r="G7" s="63"/>
      <c r="H7" s="64"/>
      <c r="I7" s="64"/>
      <c r="J7" s="60"/>
      <c r="K7" s="61"/>
      <c r="L7" s="62"/>
      <c r="M7" s="63"/>
      <c r="N7" s="64"/>
      <c r="O7" s="64"/>
      <c r="P7" s="60"/>
      <c r="Q7" s="61"/>
      <c r="R7" s="62"/>
      <c r="S7" s="63"/>
      <c r="T7" s="64"/>
      <c r="U7" s="64"/>
      <c r="V7" s="60"/>
      <c r="W7" s="61"/>
      <c r="X7" s="62"/>
      <c r="Y7" s="63"/>
      <c r="Z7" s="64"/>
      <c r="AA7" s="64"/>
      <c r="AB7" s="53"/>
      <c r="AC7" s="53"/>
      <c r="AD7" s="53"/>
      <c r="AE7" s="58"/>
      <c r="AF7" s="58"/>
      <c r="AG7" s="58"/>
      <c r="AH7" s="57"/>
      <c r="AI7" s="57"/>
      <c r="AJ7" s="57"/>
    </row>
    <row r="8">
      <c r="A8" s="36">
        <f t="shared" si="1"/>
        <v>3</v>
      </c>
      <c r="B8" s="17" t="s">
        <v>839</v>
      </c>
      <c r="C8" s="17" t="s">
        <v>841</v>
      </c>
      <c r="D8" s="60"/>
      <c r="E8" s="61"/>
      <c r="F8" s="62"/>
      <c r="G8" s="63"/>
      <c r="H8" s="64"/>
      <c r="I8" s="64"/>
      <c r="J8" s="60"/>
      <c r="K8" s="61"/>
      <c r="L8" s="62"/>
      <c r="M8" s="63"/>
      <c r="N8" s="64"/>
      <c r="O8" s="64"/>
      <c r="P8" s="60"/>
      <c r="Q8" s="61"/>
      <c r="R8" s="62"/>
      <c r="S8" s="63"/>
      <c r="T8" s="64"/>
      <c r="U8" s="64"/>
      <c r="V8" s="60"/>
      <c r="W8" s="61"/>
      <c r="X8" s="62"/>
      <c r="Y8" s="63"/>
      <c r="Z8" s="64"/>
      <c r="AA8" s="64"/>
      <c r="AB8" s="53"/>
      <c r="AC8" s="53"/>
      <c r="AD8" s="53"/>
      <c r="AE8" s="58"/>
      <c r="AF8" s="58"/>
      <c r="AG8" s="58"/>
      <c r="AH8" s="57"/>
      <c r="AI8" s="57"/>
      <c r="AJ8" s="57"/>
    </row>
    <row r="9">
      <c r="A9" s="36">
        <f t="shared" si="1"/>
        <v>4</v>
      </c>
      <c r="B9" s="17" t="s">
        <v>839</v>
      </c>
      <c r="C9" s="17" t="s">
        <v>842</v>
      </c>
      <c r="D9" s="60"/>
      <c r="E9" s="61"/>
      <c r="F9" s="62"/>
      <c r="G9" s="63"/>
      <c r="H9" s="64"/>
      <c r="I9" s="64"/>
      <c r="J9" s="60"/>
      <c r="K9" s="61"/>
      <c r="L9" s="62"/>
      <c r="M9" s="63"/>
      <c r="N9" s="64"/>
      <c r="O9" s="64"/>
      <c r="P9" s="60"/>
      <c r="Q9" s="61"/>
      <c r="R9" s="62"/>
      <c r="S9" s="63"/>
      <c r="T9" s="64"/>
      <c r="U9" s="64"/>
      <c r="V9" s="60"/>
      <c r="W9" s="61"/>
      <c r="X9" s="62"/>
      <c r="Y9" s="63"/>
      <c r="Z9" s="64"/>
      <c r="AA9" s="64"/>
      <c r="AB9" s="53"/>
      <c r="AC9" s="53"/>
      <c r="AD9" s="53"/>
      <c r="AE9" s="58"/>
      <c r="AF9" s="58"/>
      <c r="AG9" s="58"/>
      <c r="AH9" s="57"/>
      <c r="AI9" s="57"/>
      <c r="AJ9" s="57"/>
    </row>
    <row r="10">
      <c r="A10" s="36">
        <f t="shared" si="1"/>
        <v>5</v>
      </c>
      <c r="B10" s="17" t="s">
        <v>839</v>
      </c>
      <c r="C10" s="17" t="s">
        <v>843</v>
      </c>
      <c r="D10" s="60"/>
      <c r="E10" s="61"/>
      <c r="F10" s="62"/>
      <c r="G10" s="63"/>
      <c r="H10" s="64"/>
      <c r="I10" s="64"/>
      <c r="J10" s="60"/>
      <c r="K10" s="61"/>
      <c r="L10" s="62"/>
      <c r="M10" s="63"/>
      <c r="N10" s="64"/>
      <c r="O10" s="64"/>
      <c r="P10" s="60"/>
      <c r="Q10" s="61"/>
      <c r="R10" s="62"/>
      <c r="S10" s="63"/>
      <c r="T10" s="64"/>
      <c r="U10" s="64"/>
      <c r="V10" s="60"/>
      <c r="W10" s="61"/>
      <c r="X10" s="62"/>
      <c r="Y10" s="63"/>
      <c r="Z10" s="64"/>
      <c r="AA10" s="64"/>
      <c r="AB10" s="53"/>
      <c r="AC10" s="53"/>
      <c r="AD10" s="53"/>
      <c r="AE10" s="58"/>
      <c r="AF10" s="58"/>
      <c r="AG10" s="58"/>
      <c r="AH10" s="57"/>
      <c r="AI10" s="57"/>
      <c r="AJ10" s="57"/>
    </row>
    <row r="11">
      <c r="A11" s="36">
        <f t="shared" si="1"/>
        <v>6</v>
      </c>
      <c r="B11" s="17" t="s">
        <v>839</v>
      </c>
      <c r="C11" s="17" t="s">
        <v>844</v>
      </c>
      <c r="D11" s="60"/>
      <c r="E11" s="61"/>
      <c r="F11" s="62"/>
      <c r="G11" s="63"/>
      <c r="H11" s="64"/>
      <c r="I11" s="64"/>
      <c r="J11" s="60"/>
      <c r="K11" s="61"/>
      <c r="L11" s="62"/>
      <c r="M11" s="63"/>
      <c r="N11" s="64"/>
      <c r="O11" s="64"/>
      <c r="P11" s="60"/>
      <c r="Q11" s="61"/>
      <c r="R11" s="62"/>
      <c r="S11" s="63"/>
      <c r="T11" s="64"/>
      <c r="U11" s="64"/>
      <c r="V11" s="60"/>
      <c r="W11" s="61"/>
      <c r="X11" s="62"/>
      <c r="Y11" s="63"/>
      <c r="Z11" s="64"/>
      <c r="AA11" s="64"/>
      <c r="AB11" s="53"/>
      <c r="AC11" s="53"/>
      <c r="AD11" s="53"/>
      <c r="AE11" s="58"/>
      <c r="AF11" s="58"/>
      <c r="AG11" s="58"/>
      <c r="AH11" s="57"/>
      <c r="AI11" s="57"/>
      <c r="AJ11" s="57"/>
    </row>
    <row r="12">
      <c r="A12" s="36">
        <f t="shared" si="1"/>
        <v>7</v>
      </c>
      <c r="B12" s="17" t="s">
        <v>839</v>
      </c>
      <c r="C12" s="17" t="s">
        <v>845</v>
      </c>
      <c r="D12" s="60"/>
      <c r="E12" s="61"/>
      <c r="F12" s="62"/>
      <c r="G12" s="63"/>
      <c r="H12" s="64"/>
      <c r="I12" s="64"/>
      <c r="J12" s="60"/>
      <c r="K12" s="61"/>
      <c r="L12" s="62"/>
      <c r="M12" s="63"/>
      <c r="N12" s="64"/>
      <c r="O12" s="64"/>
      <c r="P12" s="60"/>
      <c r="Q12" s="61"/>
      <c r="R12" s="62"/>
      <c r="S12" s="63"/>
      <c r="T12" s="64"/>
      <c r="U12" s="64"/>
      <c r="V12" s="60"/>
      <c r="W12" s="61"/>
      <c r="X12" s="62"/>
      <c r="Y12" s="63"/>
      <c r="Z12" s="64"/>
      <c r="AA12" s="64"/>
      <c r="AB12" s="53"/>
      <c r="AC12" s="53"/>
      <c r="AD12" s="53"/>
      <c r="AE12" s="58"/>
      <c r="AF12" s="58"/>
      <c r="AG12" s="58"/>
      <c r="AH12" s="57"/>
      <c r="AI12" s="57"/>
      <c r="AJ12" s="57"/>
    </row>
    <row r="13">
      <c r="A13" s="36">
        <f t="shared" si="1"/>
        <v>8</v>
      </c>
      <c r="B13" s="17" t="s">
        <v>840</v>
      </c>
      <c r="C13" s="17" t="s">
        <v>839</v>
      </c>
      <c r="D13" s="60"/>
      <c r="E13" s="61"/>
      <c r="F13" s="62"/>
      <c r="G13" s="63"/>
      <c r="H13" s="64"/>
      <c r="I13" s="64"/>
      <c r="J13" s="60"/>
      <c r="K13" s="61"/>
      <c r="L13" s="62"/>
      <c r="M13" s="63"/>
      <c r="N13" s="64"/>
      <c r="O13" s="64"/>
      <c r="P13" s="60"/>
      <c r="Q13" s="61"/>
      <c r="R13" s="62"/>
      <c r="S13" s="63"/>
      <c r="T13" s="64"/>
      <c r="U13" s="64"/>
      <c r="V13" s="60"/>
      <c r="W13" s="61"/>
      <c r="X13" s="62"/>
      <c r="Y13" s="63"/>
      <c r="Z13" s="64"/>
      <c r="AA13" s="64"/>
      <c r="AB13" s="53"/>
      <c r="AC13" s="53"/>
      <c r="AD13" s="53"/>
      <c r="AE13" s="58"/>
      <c r="AF13" s="58"/>
      <c r="AG13" s="58"/>
      <c r="AH13" s="57"/>
      <c r="AI13" s="57"/>
      <c r="AJ13" s="57"/>
    </row>
    <row r="14">
      <c r="A14" s="36">
        <f t="shared" si="1"/>
        <v>9</v>
      </c>
      <c r="B14" s="17" t="s">
        <v>840</v>
      </c>
      <c r="C14" s="17" t="s">
        <v>840</v>
      </c>
      <c r="D14" s="60"/>
      <c r="E14" s="61"/>
      <c r="F14" s="62"/>
      <c r="G14" s="63"/>
      <c r="H14" s="64"/>
      <c r="I14" s="64"/>
      <c r="J14" s="60"/>
      <c r="K14" s="61"/>
      <c r="L14" s="62"/>
      <c r="M14" s="63"/>
      <c r="N14" s="64"/>
      <c r="O14" s="64"/>
      <c r="P14" s="60"/>
      <c r="Q14" s="61"/>
      <c r="R14" s="62"/>
      <c r="S14" s="63"/>
      <c r="T14" s="64"/>
      <c r="U14" s="64"/>
      <c r="V14" s="60"/>
      <c r="W14" s="61"/>
      <c r="X14" s="62"/>
      <c r="Y14" s="63"/>
      <c r="Z14" s="64"/>
      <c r="AA14" s="64"/>
      <c r="AB14" s="53"/>
      <c r="AC14" s="53"/>
      <c r="AD14" s="53"/>
      <c r="AE14" s="58"/>
      <c r="AF14" s="58"/>
      <c r="AG14" s="58"/>
      <c r="AH14" s="57"/>
      <c r="AI14" s="57"/>
      <c r="AJ14" s="57"/>
    </row>
    <row r="15">
      <c r="A15" s="36">
        <f t="shared" si="1"/>
        <v>10</v>
      </c>
      <c r="B15" s="17" t="s">
        <v>840</v>
      </c>
      <c r="C15" s="17" t="s">
        <v>841</v>
      </c>
      <c r="D15" s="60"/>
      <c r="E15" s="61"/>
      <c r="F15" s="62"/>
      <c r="G15" s="63"/>
      <c r="H15" s="64"/>
      <c r="I15" s="64"/>
      <c r="J15" s="60"/>
      <c r="K15" s="61"/>
      <c r="L15" s="62"/>
      <c r="M15" s="63"/>
      <c r="N15" s="64"/>
      <c r="O15" s="64"/>
      <c r="P15" s="60"/>
      <c r="Q15" s="61"/>
      <c r="R15" s="62"/>
      <c r="S15" s="63"/>
      <c r="T15" s="64"/>
      <c r="U15" s="64"/>
      <c r="V15" s="60"/>
      <c r="W15" s="61"/>
      <c r="X15" s="62"/>
      <c r="Y15" s="63"/>
      <c r="Z15" s="64"/>
      <c r="AA15" s="64"/>
      <c r="AB15" s="53"/>
      <c r="AC15" s="53"/>
      <c r="AD15" s="53"/>
      <c r="AE15" s="58"/>
      <c r="AF15" s="58"/>
      <c r="AG15" s="58"/>
      <c r="AH15" s="57"/>
      <c r="AI15" s="57"/>
      <c r="AJ15" s="57"/>
    </row>
    <row r="16">
      <c r="A16" s="36">
        <f t="shared" si="1"/>
        <v>11</v>
      </c>
      <c r="B16" s="17" t="s">
        <v>840</v>
      </c>
      <c r="C16" s="17" t="s">
        <v>842</v>
      </c>
      <c r="D16" s="60"/>
      <c r="E16" s="61"/>
      <c r="F16" s="62"/>
      <c r="G16" s="63"/>
      <c r="H16" s="64"/>
      <c r="I16" s="64"/>
      <c r="J16" s="60"/>
      <c r="K16" s="61"/>
      <c r="L16" s="62"/>
      <c r="M16" s="63"/>
      <c r="N16" s="64"/>
      <c r="O16" s="64"/>
      <c r="P16" s="60"/>
      <c r="Q16" s="61"/>
      <c r="R16" s="62"/>
      <c r="S16" s="63"/>
      <c r="T16" s="64"/>
      <c r="U16" s="64"/>
      <c r="V16" s="60"/>
      <c r="W16" s="61"/>
      <c r="X16" s="62"/>
      <c r="Y16" s="63"/>
      <c r="Z16" s="64"/>
      <c r="AA16" s="64"/>
      <c r="AB16" s="53"/>
      <c r="AC16" s="53"/>
      <c r="AD16" s="53"/>
      <c r="AE16" s="58"/>
      <c r="AF16" s="58"/>
      <c r="AG16" s="58"/>
      <c r="AH16" s="57"/>
      <c r="AI16" s="57"/>
      <c r="AJ16" s="57"/>
    </row>
    <row r="17">
      <c r="A17" s="36">
        <f t="shared" si="1"/>
        <v>12</v>
      </c>
      <c r="B17" s="17" t="s">
        <v>840</v>
      </c>
      <c r="C17" s="17" t="s">
        <v>843</v>
      </c>
      <c r="D17" s="60"/>
      <c r="E17" s="61"/>
      <c r="F17" s="62"/>
      <c r="G17" s="63"/>
      <c r="H17" s="64"/>
      <c r="I17" s="64"/>
      <c r="J17" s="60"/>
      <c r="K17" s="61"/>
      <c r="L17" s="62"/>
      <c r="M17" s="63"/>
      <c r="N17" s="64"/>
      <c r="O17" s="64"/>
      <c r="P17" s="60"/>
      <c r="Q17" s="61"/>
      <c r="R17" s="62"/>
      <c r="S17" s="63"/>
      <c r="T17" s="64"/>
      <c r="U17" s="64"/>
      <c r="V17" s="60"/>
      <c r="W17" s="61"/>
      <c r="X17" s="62"/>
      <c r="Y17" s="63"/>
      <c r="Z17" s="64"/>
      <c r="AA17" s="64"/>
      <c r="AB17" s="53"/>
      <c r="AC17" s="53"/>
      <c r="AD17" s="53"/>
      <c r="AE17" s="58"/>
      <c r="AF17" s="58"/>
      <c r="AG17" s="58"/>
      <c r="AH17" s="57"/>
      <c r="AI17" s="57"/>
      <c r="AJ17" s="57"/>
    </row>
    <row r="18">
      <c r="A18" s="36">
        <f t="shared" si="1"/>
        <v>13</v>
      </c>
      <c r="B18" s="17" t="s">
        <v>840</v>
      </c>
      <c r="C18" s="17" t="s">
        <v>844</v>
      </c>
      <c r="D18" s="60"/>
      <c r="E18" s="61"/>
      <c r="F18" s="62"/>
      <c r="G18" s="63"/>
      <c r="H18" s="64"/>
      <c r="I18" s="64"/>
      <c r="J18" s="60"/>
      <c r="K18" s="61"/>
      <c r="L18" s="62"/>
      <c r="M18" s="63"/>
      <c r="N18" s="64"/>
      <c r="O18" s="64"/>
      <c r="P18" s="60"/>
      <c r="Q18" s="61"/>
      <c r="R18" s="62"/>
      <c r="S18" s="63"/>
      <c r="T18" s="64"/>
      <c r="U18" s="64"/>
      <c r="V18" s="60"/>
      <c r="W18" s="61"/>
      <c r="X18" s="62"/>
      <c r="Y18" s="63"/>
      <c r="Z18" s="64"/>
      <c r="AA18" s="64"/>
      <c r="AB18" s="53"/>
      <c r="AC18" s="53"/>
      <c r="AD18" s="53"/>
      <c r="AE18" s="58"/>
      <c r="AF18" s="58"/>
      <c r="AG18" s="58"/>
      <c r="AH18" s="57"/>
      <c r="AI18" s="57"/>
      <c r="AJ18" s="57"/>
    </row>
    <row r="19">
      <c r="A19" s="36">
        <f t="shared" si="1"/>
        <v>14</v>
      </c>
      <c r="B19" s="17" t="s">
        <v>840</v>
      </c>
      <c r="C19" s="17" t="s">
        <v>845</v>
      </c>
      <c r="D19" s="60"/>
      <c r="E19" s="61"/>
      <c r="F19" s="62"/>
      <c r="G19" s="63"/>
      <c r="H19" s="64"/>
      <c r="I19" s="64"/>
      <c r="J19" s="60"/>
      <c r="K19" s="61"/>
      <c r="L19" s="62"/>
      <c r="M19" s="63"/>
      <c r="N19" s="64"/>
      <c r="O19" s="64"/>
      <c r="P19" s="60"/>
      <c r="Q19" s="61"/>
      <c r="R19" s="62"/>
      <c r="S19" s="63"/>
      <c r="T19" s="64"/>
      <c r="U19" s="64"/>
      <c r="V19" s="60"/>
      <c r="W19" s="61"/>
      <c r="X19" s="62"/>
      <c r="Y19" s="63"/>
      <c r="Z19" s="64"/>
      <c r="AA19" s="64"/>
      <c r="AB19" s="53"/>
      <c r="AC19" s="53"/>
      <c r="AD19" s="53"/>
      <c r="AE19" s="58"/>
      <c r="AF19" s="58"/>
      <c r="AG19" s="58"/>
      <c r="AH19" s="57"/>
      <c r="AI19" s="57"/>
      <c r="AJ19" s="57"/>
    </row>
    <row r="20">
      <c r="A20" s="36">
        <f t="shared" si="1"/>
        <v>15</v>
      </c>
      <c r="B20" s="17" t="s">
        <v>841</v>
      </c>
      <c r="C20" s="17" t="s">
        <v>839</v>
      </c>
      <c r="D20" s="60"/>
      <c r="E20" s="61"/>
      <c r="F20" s="62"/>
      <c r="G20" s="63"/>
      <c r="H20" s="64"/>
      <c r="I20" s="64"/>
      <c r="J20" s="60"/>
      <c r="K20" s="61"/>
      <c r="L20" s="62"/>
      <c r="M20" s="63"/>
      <c r="N20" s="64"/>
      <c r="O20" s="64"/>
      <c r="P20" s="60"/>
      <c r="Q20" s="61"/>
      <c r="R20" s="62"/>
      <c r="S20" s="63"/>
      <c r="T20" s="64"/>
      <c r="U20" s="64"/>
      <c r="V20" s="60"/>
      <c r="W20" s="61"/>
      <c r="X20" s="62"/>
      <c r="Y20" s="63"/>
      <c r="Z20" s="64"/>
      <c r="AA20" s="64"/>
      <c r="AB20" s="53"/>
      <c r="AC20" s="53"/>
      <c r="AD20" s="53"/>
      <c r="AE20" s="58"/>
      <c r="AF20" s="58"/>
      <c r="AG20" s="58"/>
      <c r="AH20" s="57"/>
      <c r="AI20" s="57"/>
      <c r="AJ20" s="57"/>
    </row>
    <row r="21" ht="15.75" customHeight="1">
      <c r="A21" s="36">
        <f t="shared" si="1"/>
        <v>16</v>
      </c>
      <c r="B21" s="17" t="s">
        <v>841</v>
      </c>
      <c r="C21" s="17" t="s">
        <v>840</v>
      </c>
      <c r="D21" s="60"/>
      <c r="E21" s="61"/>
      <c r="F21" s="62"/>
      <c r="G21" s="63"/>
      <c r="H21" s="64"/>
      <c r="I21" s="64"/>
      <c r="J21" s="60"/>
      <c r="K21" s="61"/>
      <c r="L21" s="62"/>
      <c r="M21" s="63"/>
      <c r="N21" s="64"/>
      <c r="O21" s="64"/>
      <c r="P21" s="60"/>
      <c r="Q21" s="61"/>
      <c r="R21" s="62"/>
      <c r="S21" s="63"/>
      <c r="T21" s="64"/>
      <c r="U21" s="64"/>
      <c r="V21" s="60"/>
      <c r="W21" s="61"/>
      <c r="X21" s="62"/>
      <c r="Y21" s="63"/>
      <c r="Z21" s="64"/>
      <c r="AA21" s="64"/>
      <c r="AB21" s="53"/>
      <c r="AC21" s="53"/>
      <c r="AD21" s="53"/>
      <c r="AE21" s="58"/>
      <c r="AF21" s="58"/>
      <c r="AG21" s="58"/>
      <c r="AH21" s="57"/>
      <c r="AI21" s="57"/>
      <c r="AJ21" s="57"/>
    </row>
    <row r="22" ht="15.75" customHeight="1">
      <c r="A22" s="36">
        <f t="shared" si="1"/>
        <v>17</v>
      </c>
      <c r="B22" s="17" t="s">
        <v>841</v>
      </c>
      <c r="C22" s="17" t="s">
        <v>841</v>
      </c>
      <c r="D22" s="60"/>
      <c r="E22" s="61"/>
      <c r="F22" s="62"/>
      <c r="G22" s="63"/>
      <c r="H22" s="64"/>
      <c r="I22" s="64"/>
      <c r="J22" s="60"/>
      <c r="K22" s="61"/>
      <c r="L22" s="62"/>
      <c r="M22" s="63"/>
      <c r="N22" s="64"/>
      <c r="O22" s="64"/>
      <c r="P22" s="60"/>
      <c r="Q22" s="61"/>
      <c r="R22" s="62"/>
      <c r="S22" s="63"/>
      <c r="T22" s="64"/>
      <c r="U22" s="64"/>
      <c r="V22" s="60"/>
      <c r="W22" s="61"/>
      <c r="X22" s="62"/>
      <c r="Y22" s="63"/>
      <c r="Z22" s="64"/>
      <c r="AA22" s="64"/>
      <c r="AB22" s="53"/>
      <c r="AC22" s="53"/>
      <c r="AD22" s="53"/>
      <c r="AE22" s="58"/>
      <c r="AF22" s="58"/>
      <c r="AG22" s="58"/>
      <c r="AH22" s="57"/>
      <c r="AI22" s="57"/>
      <c r="AJ22" s="57"/>
    </row>
    <row r="23" ht="15.75" customHeight="1">
      <c r="A23" s="36">
        <f t="shared" si="1"/>
        <v>18</v>
      </c>
      <c r="B23" s="17" t="s">
        <v>841</v>
      </c>
      <c r="C23" s="17" t="s">
        <v>842</v>
      </c>
      <c r="D23" s="60"/>
      <c r="E23" s="61"/>
      <c r="F23" s="62"/>
      <c r="G23" s="63"/>
      <c r="H23" s="64"/>
      <c r="I23" s="64"/>
      <c r="J23" s="60"/>
      <c r="K23" s="61"/>
      <c r="L23" s="62"/>
      <c r="M23" s="63"/>
      <c r="N23" s="64"/>
      <c r="O23" s="64"/>
      <c r="P23" s="60"/>
      <c r="Q23" s="61"/>
      <c r="R23" s="62"/>
      <c r="S23" s="63"/>
      <c r="T23" s="64"/>
      <c r="U23" s="64"/>
      <c r="V23" s="60"/>
      <c r="W23" s="61"/>
      <c r="X23" s="62"/>
      <c r="Y23" s="63"/>
      <c r="Z23" s="64"/>
      <c r="AA23" s="64"/>
      <c r="AB23" s="53"/>
      <c r="AC23" s="53"/>
      <c r="AD23" s="53"/>
      <c r="AE23" s="58"/>
      <c r="AF23" s="58"/>
      <c r="AG23" s="58"/>
      <c r="AH23" s="57"/>
      <c r="AI23" s="57"/>
      <c r="AJ23" s="57"/>
    </row>
    <row r="24" ht="15.75" customHeight="1">
      <c r="A24" s="36">
        <f t="shared" si="1"/>
        <v>19</v>
      </c>
      <c r="B24" s="17" t="s">
        <v>841</v>
      </c>
      <c r="C24" s="17" t="s">
        <v>843</v>
      </c>
      <c r="D24" s="60"/>
      <c r="E24" s="61"/>
      <c r="F24" s="62"/>
      <c r="G24" s="63"/>
      <c r="H24" s="64"/>
      <c r="I24" s="64"/>
      <c r="J24" s="60"/>
      <c r="K24" s="61"/>
      <c r="L24" s="62"/>
      <c r="M24" s="63"/>
      <c r="N24" s="64"/>
      <c r="O24" s="64"/>
      <c r="P24" s="60"/>
      <c r="Q24" s="61"/>
      <c r="R24" s="62"/>
      <c r="S24" s="63"/>
      <c r="T24" s="64"/>
      <c r="U24" s="64"/>
      <c r="V24" s="60"/>
      <c r="W24" s="61"/>
      <c r="X24" s="62"/>
      <c r="Y24" s="63"/>
      <c r="Z24" s="64"/>
      <c r="AA24" s="64"/>
      <c r="AB24" s="53"/>
      <c r="AC24" s="53"/>
      <c r="AD24" s="53"/>
      <c r="AE24" s="58"/>
      <c r="AF24" s="58"/>
      <c r="AG24" s="58"/>
      <c r="AH24" s="57"/>
      <c r="AI24" s="57"/>
      <c r="AJ24" s="57"/>
    </row>
    <row r="25" ht="15.75" customHeight="1">
      <c r="A25" s="36">
        <f t="shared" si="1"/>
        <v>20</v>
      </c>
      <c r="B25" s="17" t="s">
        <v>841</v>
      </c>
      <c r="C25" s="17" t="s">
        <v>844</v>
      </c>
      <c r="D25" s="60"/>
      <c r="E25" s="61"/>
      <c r="F25" s="62"/>
      <c r="G25" s="63"/>
      <c r="H25" s="64"/>
      <c r="I25" s="64"/>
      <c r="J25" s="60"/>
      <c r="K25" s="61"/>
      <c r="L25" s="62"/>
      <c r="M25" s="63"/>
      <c r="N25" s="64"/>
      <c r="O25" s="64"/>
      <c r="P25" s="60"/>
      <c r="Q25" s="61"/>
      <c r="R25" s="62"/>
      <c r="S25" s="63"/>
      <c r="T25" s="64"/>
      <c r="U25" s="64"/>
      <c r="V25" s="60"/>
      <c r="W25" s="61"/>
      <c r="X25" s="62"/>
      <c r="Y25" s="63"/>
      <c r="Z25" s="64"/>
      <c r="AA25" s="64"/>
      <c r="AB25" s="53"/>
      <c r="AC25" s="53"/>
      <c r="AD25" s="53"/>
      <c r="AE25" s="58"/>
      <c r="AF25" s="58"/>
      <c r="AG25" s="58"/>
      <c r="AH25" s="57"/>
      <c r="AI25" s="57"/>
      <c r="AJ25" s="57"/>
    </row>
    <row r="26" ht="15.75" customHeight="1">
      <c r="A26" s="36">
        <f t="shared" si="1"/>
        <v>21</v>
      </c>
      <c r="B26" s="17" t="s">
        <v>841</v>
      </c>
      <c r="C26" s="17" t="s">
        <v>845</v>
      </c>
      <c r="D26" s="60"/>
      <c r="E26" s="61"/>
      <c r="F26" s="62"/>
      <c r="G26" s="63"/>
      <c r="H26" s="64"/>
      <c r="I26" s="64"/>
      <c r="J26" s="60"/>
      <c r="K26" s="61"/>
      <c r="L26" s="62"/>
      <c r="M26" s="63"/>
      <c r="N26" s="64"/>
      <c r="O26" s="64"/>
      <c r="P26" s="60"/>
      <c r="Q26" s="61"/>
      <c r="R26" s="62"/>
      <c r="S26" s="63"/>
      <c r="T26" s="64"/>
      <c r="U26" s="64"/>
      <c r="V26" s="60"/>
      <c r="W26" s="61"/>
      <c r="X26" s="62"/>
      <c r="Y26" s="63"/>
      <c r="Z26" s="64"/>
      <c r="AA26" s="64"/>
      <c r="AB26" s="53"/>
      <c r="AC26" s="53"/>
      <c r="AD26" s="53"/>
      <c r="AE26" s="58"/>
      <c r="AF26" s="58"/>
      <c r="AG26" s="58"/>
      <c r="AH26" s="57"/>
      <c r="AI26" s="57"/>
      <c r="AJ26" s="57"/>
    </row>
    <row r="27" ht="15.75" customHeight="1">
      <c r="A27" s="36">
        <f t="shared" si="1"/>
        <v>22</v>
      </c>
      <c r="B27" s="17" t="s">
        <v>842</v>
      </c>
      <c r="C27" s="17" t="s">
        <v>839</v>
      </c>
      <c r="D27" s="60"/>
      <c r="E27" s="61"/>
      <c r="F27" s="62"/>
      <c r="G27" s="63"/>
      <c r="H27" s="64"/>
      <c r="I27" s="64"/>
      <c r="J27" s="60"/>
      <c r="K27" s="61"/>
      <c r="L27" s="62"/>
      <c r="M27" s="63"/>
      <c r="N27" s="64"/>
      <c r="O27" s="64"/>
      <c r="P27" s="60"/>
      <c r="Q27" s="61"/>
      <c r="R27" s="62"/>
      <c r="S27" s="63"/>
      <c r="T27" s="64"/>
      <c r="U27" s="64"/>
      <c r="V27" s="60"/>
      <c r="W27" s="61"/>
      <c r="X27" s="62"/>
      <c r="Y27" s="63"/>
      <c r="Z27" s="64"/>
      <c r="AA27" s="64"/>
      <c r="AB27" s="53"/>
      <c r="AC27" s="53"/>
      <c r="AD27" s="53"/>
      <c r="AE27" s="58"/>
      <c r="AF27" s="58"/>
      <c r="AG27" s="58"/>
      <c r="AH27" s="57"/>
      <c r="AI27" s="57"/>
      <c r="AJ27" s="57"/>
    </row>
    <row r="28" ht="15.75" customHeight="1">
      <c r="A28" s="36">
        <f t="shared" si="1"/>
        <v>23</v>
      </c>
      <c r="B28" s="17" t="s">
        <v>842</v>
      </c>
      <c r="C28" s="17" t="s">
        <v>840</v>
      </c>
      <c r="D28" s="60"/>
      <c r="E28" s="61"/>
      <c r="F28" s="62"/>
      <c r="G28" s="63"/>
      <c r="H28" s="64"/>
      <c r="I28" s="64"/>
      <c r="J28" s="60"/>
      <c r="K28" s="61"/>
      <c r="L28" s="62"/>
      <c r="M28" s="63"/>
      <c r="N28" s="64"/>
      <c r="O28" s="64"/>
      <c r="P28" s="60"/>
      <c r="Q28" s="61"/>
      <c r="R28" s="62"/>
      <c r="S28" s="63"/>
      <c r="T28" s="64"/>
      <c r="U28" s="64"/>
      <c r="V28" s="60"/>
      <c r="W28" s="61"/>
      <c r="X28" s="62"/>
      <c r="Y28" s="63"/>
      <c r="Z28" s="64"/>
      <c r="AA28" s="64"/>
      <c r="AB28" s="53"/>
      <c r="AC28" s="53"/>
      <c r="AD28" s="53"/>
      <c r="AE28" s="58"/>
      <c r="AF28" s="58"/>
      <c r="AG28" s="58"/>
      <c r="AH28" s="57"/>
      <c r="AI28" s="57"/>
      <c r="AJ28" s="57"/>
    </row>
    <row r="29" ht="15.75" customHeight="1">
      <c r="A29" s="36">
        <f t="shared" si="1"/>
        <v>24</v>
      </c>
      <c r="B29" s="17" t="s">
        <v>842</v>
      </c>
      <c r="C29" s="17" t="s">
        <v>841</v>
      </c>
      <c r="D29" s="60"/>
      <c r="E29" s="61"/>
      <c r="F29" s="62"/>
      <c r="G29" s="63"/>
      <c r="H29" s="64"/>
      <c r="I29" s="64"/>
      <c r="J29" s="60"/>
      <c r="K29" s="61"/>
      <c r="L29" s="62"/>
      <c r="M29" s="63"/>
      <c r="N29" s="64"/>
      <c r="O29" s="64"/>
      <c r="P29" s="60"/>
      <c r="Q29" s="61"/>
      <c r="R29" s="62"/>
      <c r="S29" s="63"/>
      <c r="T29" s="64"/>
      <c r="U29" s="64"/>
      <c r="V29" s="60"/>
      <c r="W29" s="61"/>
      <c r="X29" s="62"/>
      <c r="Y29" s="63"/>
      <c r="Z29" s="64"/>
      <c r="AA29" s="64"/>
      <c r="AB29" s="53"/>
      <c r="AC29" s="53"/>
      <c r="AD29" s="53"/>
      <c r="AE29" s="58"/>
      <c r="AF29" s="58"/>
      <c r="AG29" s="58"/>
      <c r="AH29" s="57"/>
      <c r="AI29" s="57"/>
      <c r="AJ29" s="57"/>
    </row>
    <row r="30" ht="15.75" customHeight="1">
      <c r="A30" s="36">
        <f t="shared" si="1"/>
        <v>25</v>
      </c>
      <c r="B30" s="17" t="s">
        <v>842</v>
      </c>
      <c r="C30" s="17" t="s">
        <v>842</v>
      </c>
      <c r="D30" s="60"/>
      <c r="E30" s="61"/>
      <c r="F30" s="62"/>
      <c r="G30" s="63"/>
      <c r="H30" s="64"/>
      <c r="I30" s="64"/>
      <c r="J30" s="60"/>
      <c r="K30" s="61"/>
      <c r="L30" s="62"/>
      <c r="M30" s="63"/>
      <c r="N30" s="64"/>
      <c r="O30" s="64"/>
      <c r="P30" s="60"/>
      <c r="Q30" s="61"/>
      <c r="R30" s="62"/>
      <c r="S30" s="63"/>
      <c r="T30" s="64"/>
      <c r="U30" s="64"/>
      <c r="V30" s="60"/>
      <c r="W30" s="61"/>
      <c r="X30" s="62"/>
      <c r="Y30" s="63"/>
      <c r="Z30" s="64"/>
      <c r="AA30" s="64"/>
      <c r="AB30" s="53"/>
      <c r="AC30" s="53"/>
      <c r="AD30" s="53"/>
      <c r="AE30" s="58"/>
      <c r="AF30" s="58"/>
      <c r="AG30" s="58"/>
      <c r="AH30" s="57"/>
      <c r="AI30" s="57"/>
      <c r="AJ30" s="57"/>
    </row>
    <row r="31" ht="15.75" customHeight="1">
      <c r="A31" s="36">
        <f t="shared" si="1"/>
        <v>26</v>
      </c>
      <c r="B31" s="17" t="s">
        <v>842</v>
      </c>
      <c r="C31" s="17" t="s">
        <v>843</v>
      </c>
      <c r="D31" s="60"/>
      <c r="E31" s="61"/>
      <c r="F31" s="62"/>
      <c r="G31" s="63"/>
      <c r="H31" s="64"/>
      <c r="I31" s="64"/>
      <c r="J31" s="60"/>
      <c r="K31" s="61"/>
      <c r="L31" s="62"/>
      <c r="M31" s="63"/>
      <c r="N31" s="64"/>
      <c r="O31" s="64"/>
      <c r="P31" s="60"/>
      <c r="Q31" s="61"/>
      <c r="R31" s="62"/>
      <c r="S31" s="63"/>
      <c r="T31" s="64"/>
      <c r="U31" s="64"/>
      <c r="V31" s="60"/>
      <c r="W31" s="61"/>
      <c r="X31" s="62"/>
      <c r="Y31" s="63"/>
      <c r="Z31" s="64"/>
      <c r="AA31" s="64"/>
      <c r="AB31" s="53"/>
      <c r="AC31" s="53"/>
      <c r="AD31" s="53"/>
      <c r="AE31" s="58"/>
      <c r="AF31" s="58"/>
      <c r="AG31" s="58"/>
      <c r="AH31" s="57"/>
      <c r="AI31" s="57"/>
      <c r="AJ31" s="57"/>
    </row>
    <row r="32" ht="15.75" customHeight="1">
      <c r="A32" s="36">
        <f t="shared" si="1"/>
        <v>27</v>
      </c>
      <c r="B32" s="17" t="s">
        <v>842</v>
      </c>
      <c r="C32" s="17" t="s">
        <v>844</v>
      </c>
      <c r="D32" s="60"/>
      <c r="E32" s="61"/>
      <c r="F32" s="62"/>
      <c r="G32" s="63"/>
      <c r="H32" s="64"/>
      <c r="I32" s="64"/>
      <c r="J32" s="60"/>
      <c r="K32" s="61"/>
      <c r="L32" s="62"/>
      <c r="M32" s="63"/>
      <c r="N32" s="64"/>
      <c r="O32" s="64"/>
      <c r="P32" s="60"/>
      <c r="Q32" s="61"/>
      <c r="R32" s="62"/>
      <c r="S32" s="63"/>
      <c r="T32" s="64"/>
      <c r="U32" s="64"/>
      <c r="V32" s="60"/>
      <c r="W32" s="61"/>
      <c r="X32" s="62"/>
      <c r="Y32" s="63"/>
      <c r="Z32" s="64"/>
      <c r="AA32" s="64"/>
      <c r="AB32" s="53"/>
      <c r="AC32" s="53"/>
      <c r="AD32" s="53"/>
      <c r="AE32" s="58"/>
      <c r="AF32" s="58"/>
      <c r="AG32" s="58"/>
      <c r="AH32" s="57"/>
      <c r="AI32" s="57"/>
      <c r="AJ32" s="57"/>
    </row>
    <row r="33" ht="15.75" customHeight="1">
      <c r="A33" s="36">
        <f t="shared" si="1"/>
        <v>28</v>
      </c>
      <c r="B33" s="17" t="s">
        <v>842</v>
      </c>
      <c r="C33" s="17" t="s">
        <v>845</v>
      </c>
      <c r="D33" s="60"/>
      <c r="E33" s="61"/>
      <c r="F33" s="62"/>
      <c r="G33" s="63"/>
      <c r="H33" s="64"/>
      <c r="I33" s="64"/>
      <c r="J33" s="60"/>
      <c r="K33" s="61"/>
      <c r="L33" s="62"/>
      <c r="M33" s="63"/>
      <c r="N33" s="64"/>
      <c r="O33" s="64"/>
      <c r="P33" s="60"/>
      <c r="Q33" s="61"/>
      <c r="R33" s="62"/>
      <c r="S33" s="63"/>
      <c r="T33" s="64"/>
      <c r="U33" s="64"/>
      <c r="V33" s="60"/>
      <c r="W33" s="61"/>
      <c r="X33" s="62"/>
      <c r="Y33" s="63"/>
      <c r="Z33" s="64"/>
      <c r="AA33" s="64"/>
      <c r="AB33" s="53"/>
      <c r="AC33" s="53"/>
      <c r="AD33" s="53"/>
      <c r="AE33" s="58"/>
      <c r="AF33" s="58"/>
      <c r="AG33" s="58"/>
      <c r="AH33" s="57"/>
      <c r="AI33" s="57"/>
      <c r="AJ33" s="57"/>
    </row>
    <row r="34" ht="15.75" customHeight="1">
      <c r="A34" s="36">
        <f t="shared" si="1"/>
        <v>29</v>
      </c>
      <c r="B34" s="17" t="s">
        <v>843</v>
      </c>
      <c r="C34" s="17" t="s">
        <v>839</v>
      </c>
      <c r="D34" s="60"/>
      <c r="E34" s="61"/>
      <c r="F34" s="62"/>
      <c r="G34" s="63"/>
      <c r="H34" s="64"/>
      <c r="I34" s="64"/>
      <c r="J34" s="60"/>
      <c r="K34" s="61"/>
      <c r="L34" s="62"/>
      <c r="M34" s="63"/>
      <c r="N34" s="64"/>
      <c r="O34" s="64"/>
      <c r="P34" s="60"/>
      <c r="Q34" s="61"/>
      <c r="R34" s="62"/>
      <c r="S34" s="63"/>
      <c r="T34" s="64"/>
      <c r="U34" s="64"/>
      <c r="V34" s="60"/>
      <c r="W34" s="61"/>
      <c r="X34" s="62"/>
      <c r="Y34" s="63"/>
      <c r="Z34" s="64"/>
      <c r="AA34" s="64"/>
      <c r="AB34" s="53"/>
      <c r="AC34" s="53"/>
      <c r="AD34" s="53"/>
      <c r="AE34" s="58"/>
      <c r="AF34" s="58"/>
      <c r="AG34" s="58"/>
      <c r="AH34" s="57"/>
      <c r="AI34" s="57"/>
      <c r="AJ34" s="57"/>
    </row>
    <row r="35" ht="15.75" customHeight="1">
      <c r="A35" s="36">
        <f t="shared" si="1"/>
        <v>30</v>
      </c>
      <c r="B35" s="17" t="s">
        <v>843</v>
      </c>
      <c r="C35" s="17" t="s">
        <v>840</v>
      </c>
      <c r="D35" s="60"/>
      <c r="E35" s="61"/>
      <c r="F35" s="62"/>
      <c r="G35" s="63"/>
      <c r="H35" s="64"/>
      <c r="I35" s="64"/>
      <c r="J35" s="60"/>
      <c r="K35" s="61"/>
      <c r="L35" s="62"/>
      <c r="M35" s="63"/>
      <c r="N35" s="64"/>
      <c r="O35" s="64"/>
      <c r="P35" s="60"/>
      <c r="Q35" s="61"/>
      <c r="R35" s="62"/>
      <c r="S35" s="63"/>
      <c r="T35" s="64"/>
      <c r="U35" s="64"/>
      <c r="V35" s="60"/>
      <c r="W35" s="61"/>
      <c r="X35" s="62"/>
      <c r="Y35" s="63"/>
      <c r="Z35" s="64"/>
      <c r="AA35" s="64"/>
      <c r="AB35" s="53"/>
      <c r="AC35" s="53"/>
      <c r="AD35" s="53"/>
      <c r="AE35" s="58"/>
      <c r="AF35" s="58"/>
      <c r="AG35" s="58"/>
      <c r="AH35" s="57"/>
      <c r="AI35" s="57"/>
      <c r="AJ35" s="57"/>
    </row>
    <row r="36" ht="15.75" customHeight="1">
      <c r="A36" s="36">
        <f t="shared" si="1"/>
        <v>31</v>
      </c>
      <c r="B36" s="17" t="s">
        <v>843</v>
      </c>
      <c r="C36" s="17" t="s">
        <v>841</v>
      </c>
      <c r="D36" s="60"/>
      <c r="E36" s="61"/>
      <c r="F36" s="62"/>
      <c r="G36" s="63"/>
      <c r="H36" s="64"/>
      <c r="I36" s="64"/>
      <c r="J36" s="60"/>
      <c r="K36" s="61"/>
      <c r="L36" s="62"/>
      <c r="M36" s="63"/>
      <c r="N36" s="64"/>
      <c r="O36" s="64"/>
      <c r="P36" s="60"/>
      <c r="Q36" s="61"/>
      <c r="R36" s="62"/>
      <c r="S36" s="63"/>
      <c r="T36" s="64"/>
      <c r="U36" s="64"/>
      <c r="V36" s="60"/>
      <c r="W36" s="61"/>
      <c r="X36" s="62"/>
      <c r="Y36" s="63"/>
      <c r="Z36" s="64"/>
      <c r="AA36" s="64"/>
      <c r="AB36" s="53"/>
      <c r="AC36" s="53"/>
      <c r="AD36" s="53"/>
      <c r="AE36" s="58"/>
      <c r="AF36" s="58"/>
      <c r="AG36" s="58"/>
      <c r="AH36" s="57"/>
      <c r="AI36" s="57"/>
      <c r="AJ36" s="57"/>
    </row>
    <row r="37" ht="15.75" customHeight="1">
      <c r="A37" s="36">
        <f t="shared" si="1"/>
        <v>32</v>
      </c>
      <c r="B37" s="17" t="s">
        <v>843</v>
      </c>
      <c r="C37" s="17" t="s">
        <v>842</v>
      </c>
      <c r="D37" s="60"/>
      <c r="E37" s="61"/>
      <c r="F37" s="62"/>
      <c r="G37" s="63"/>
      <c r="H37" s="64"/>
      <c r="I37" s="64"/>
      <c r="J37" s="60"/>
      <c r="K37" s="61"/>
      <c r="L37" s="62"/>
      <c r="M37" s="63"/>
      <c r="N37" s="64"/>
      <c r="O37" s="64"/>
      <c r="P37" s="60"/>
      <c r="Q37" s="61"/>
      <c r="R37" s="62"/>
      <c r="S37" s="63"/>
      <c r="T37" s="64"/>
      <c r="U37" s="64"/>
      <c r="V37" s="60"/>
      <c r="W37" s="61"/>
      <c r="X37" s="62"/>
      <c r="Y37" s="63"/>
      <c r="Z37" s="64"/>
      <c r="AA37" s="64"/>
      <c r="AB37" s="53"/>
      <c r="AC37" s="53"/>
      <c r="AD37" s="53"/>
      <c r="AE37" s="58"/>
      <c r="AF37" s="58"/>
      <c r="AG37" s="58"/>
      <c r="AH37" s="57"/>
      <c r="AI37" s="57"/>
      <c r="AJ37" s="57"/>
    </row>
    <row r="38" ht="15.75" customHeight="1">
      <c r="A38" s="36">
        <f t="shared" si="1"/>
        <v>33</v>
      </c>
      <c r="B38" s="17" t="s">
        <v>843</v>
      </c>
      <c r="C38" s="17" t="s">
        <v>843</v>
      </c>
      <c r="D38" s="60"/>
      <c r="E38" s="61"/>
      <c r="F38" s="62"/>
      <c r="G38" s="63"/>
      <c r="H38" s="64"/>
      <c r="I38" s="64"/>
      <c r="J38" s="60"/>
      <c r="K38" s="61"/>
      <c r="L38" s="62"/>
      <c r="M38" s="63"/>
      <c r="N38" s="64"/>
      <c r="O38" s="64"/>
      <c r="P38" s="60"/>
      <c r="Q38" s="61"/>
      <c r="R38" s="62"/>
      <c r="S38" s="63"/>
      <c r="T38" s="64"/>
      <c r="U38" s="64"/>
      <c r="V38" s="60"/>
      <c r="W38" s="61"/>
      <c r="X38" s="62"/>
      <c r="Y38" s="63"/>
      <c r="Z38" s="64"/>
      <c r="AA38" s="64"/>
      <c r="AB38" s="53"/>
      <c r="AC38" s="53"/>
      <c r="AD38" s="53"/>
      <c r="AE38" s="58"/>
      <c r="AF38" s="58"/>
      <c r="AG38" s="58"/>
      <c r="AH38" s="57"/>
      <c r="AI38" s="57"/>
      <c r="AJ38" s="57"/>
    </row>
    <row r="39" ht="15.75" customHeight="1">
      <c r="A39" s="36">
        <f t="shared" si="1"/>
        <v>34</v>
      </c>
      <c r="B39" s="17" t="s">
        <v>843</v>
      </c>
      <c r="C39" s="17" t="s">
        <v>844</v>
      </c>
      <c r="D39" s="60"/>
      <c r="E39" s="61"/>
      <c r="F39" s="62"/>
      <c r="G39" s="63"/>
      <c r="H39" s="64"/>
      <c r="I39" s="64"/>
      <c r="J39" s="60"/>
      <c r="K39" s="61"/>
      <c r="L39" s="62"/>
      <c r="M39" s="63"/>
      <c r="N39" s="64"/>
      <c r="O39" s="64"/>
      <c r="P39" s="60"/>
      <c r="Q39" s="61"/>
      <c r="R39" s="62"/>
      <c r="S39" s="63"/>
      <c r="T39" s="64"/>
      <c r="U39" s="64"/>
      <c r="V39" s="60"/>
      <c r="W39" s="61"/>
      <c r="X39" s="62"/>
      <c r="Y39" s="63"/>
      <c r="Z39" s="64"/>
      <c r="AA39" s="64"/>
      <c r="AB39" s="53"/>
      <c r="AC39" s="53"/>
      <c r="AD39" s="53"/>
      <c r="AE39" s="58"/>
      <c r="AF39" s="58"/>
      <c r="AG39" s="58"/>
      <c r="AH39" s="57"/>
      <c r="AI39" s="57"/>
      <c r="AJ39" s="57"/>
    </row>
    <row r="40" ht="15.75" customHeight="1">
      <c r="A40" s="36">
        <f t="shared" si="1"/>
        <v>35</v>
      </c>
      <c r="B40" s="17" t="s">
        <v>843</v>
      </c>
      <c r="C40" s="17" t="s">
        <v>845</v>
      </c>
      <c r="D40" s="60"/>
      <c r="E40" s="61"/>
      <c r="F40" s="62"/>
      <c r="G40" s="63"/>
      <c r="H40" s="64"/>
      <c r="I40" s="64"/>
      <c r="J40" s="60"/>
      <c r="K40" s="61"/>
      <c r="L40" s="62"/>
      <c r="M40" s="63"/>
      <c r="N40" s="64"/>
      <c r="O40" s="64"/>
      <c r="P40" s="60"/>
      <c r="Q40" s="61"/>
      <c r="R40" s="62"/>
      <c r="S40" s="63"/>
      <c r="T40" s="64"/>
      <c r="U40" s="64"/>
      <c r="V40" s="60"/>
      <c r="W40" s="61"/>
      <c r="X40" s="62"/>
      <c r="Y40" s="63"/>
      <c r="Z40" s="64"/>
      <c r="AA40" s="64"/>
      <c r="AB40" s="53"/>
      <c r="AC40" s="53"/>
      <c r="AD40" s="53"/>
      <c r="AE40" s="58"/>
      <c r="AF40" s="58"/>
      <c r="AG40" s="58"/>
      <c r="AH40" s="57"/>
      <c r="AI40" s="57"/>
      <c r="AJ40" s="57"/>
    </row>
    <row r="41" ht="15.75" customHeight="1">
      <c r="A41" s="36">
        <f t="shared" si="1"/>
        <v>36</v>
      </c>
      <c r="B41" s="17" t="s">
        <v>844</v>
      </c>
      <c r="C41" s="17" t="s">
        <v>839</v>
      </c>
      <c r="D41" s="60"/>
      <c r="E41" s="61"/>
      <c r="F41" s="62"/>
      <c r="G41" s="63"/>
      <c r="H41" s="64"/>
      <c r="I41" s="64"/>
      <c r="J41" s="60"/>
      <c r="K41" s="61"/>
      <c r="L41" s="62"/>
      <c r="M41" s="63"/>
      <c r="N41" s="64"/>
      <c r="O41" s="64"/>
      <c r="P41" s="60"/>
      <c r="Q41" s="61"/>
      <c r="R41" s="62"/>
      <c r="S41" s="63"/>
      <c r="T41" s="64"/>
      <c r="U41" s="64"/>
      <c r="V41" s="60"/>
      <c r="W41" s="61"/>
      <c r="X41" s="62"/>
      <c r="Y41" s="63"/>
      <c r="Z41" s="64"/>
      <c r="AA41" s="64"/>
      <c r="AB41" s="53"/>
      <c r="AC41" s="53"/>
      <c r="AD41" s="53"/>
      <c r="AE41" s="58"/>
      <c r="AF41" s="58"/>
      <c r="AG41" s="58"/>
      <c r="AH41" s="57"/>
      <c r="AI41" s="57"/>
      <c r="AJ41" s="57"/>
    </row>
    <row r="42" ht="15.75" customHeight="1">
      <c r="A42" s="36">
        <f t="shared" si="1"/>
        <v>37</v>
      </c>
      <c r="B42" s="17" t="s">
        <v>844</v>
      </c>
      <c r="C42" s="17" t="s">
        <v>840</v>
      </c>
      <c r="D42" s="60"/>
      <c r="E42" s="61"/>
      <c r="F42" s="62"/>
      <c r="G42" s="63"/>
      <c r="H42" s="64"/>
      <c r="I42" s="64"/>
      <c r="J42" s="60"/>
      <c r="K42" s="61"/>
      <c r="L42" s="62"/>
      <c r="M42" s="63"/>
      <c r="N42" s="64"/>
      <c r="O42" s="64"/>
      <c r="P42" s="60"/>
      <c r="Q42" s="61"/>
      <c r="R42" s="62"/>
      <c r="S42" s="63"/>
      <c r="T42" s="64"/>
      <c r="U42" s="64"/>
      <c r="V42" s="60"/>
      <c r="W42" s="61"/>
      <c r="X42" s="62"/>
      <c r="Y42" s="63"/>
      <c r="Z42" s="64"/>
      <c r="AA42" s="64"/>
      <c r="AB42" s="53"/>
      <c r="AC42" s="53"/>
      <c r="AD42" s="53"/>
      <c r="AE42" s="58"/>
      <c r="AF42" s="58"/>
      <c r="AG42" s="58"/>
      <c r="AH42" s="57"/>
      <c r="AI42" s="57"/>
      <c r="AJ42" s="57"/>
    </row>
    <row r="43" ht="15.75" customHeight="1">
      <c r="A43" s="36">
        <f t="shared" si="1"/>
        <v>38</v>
      </c>
      <c r="B43" s="17" t="s">
        <v>844</v>
      </c>
      <c r="C43" s="17" t="s">
        <v>841</v>
      </c>
      <c r="D43" s="60"/>
      <c r="E43" s="61"/>
      <c r="F43" s="62"/>
      <c r="G43" s="63"/>
      <c r="H43" s="64"/>
      <c r="I43" s="64"/>
      <c r="J43" s="60"/>
      <c r="K43" s="61"/>
      <c r="L43" s="62"/>
      <c r="M43" s="63"/>
      <c r="N43" s="64"/>
      <c r="O43" s="64"/>
      <c r="P43" s="60"/>
      <c r="Q43" s="61"/>
      <c r="R43" s="62"/>
      <c r="S43" s="63"/>
      <c r="T43" s="64"/>
      <c r="U43" s="64"/>
      <c r="V43" s="60"/>
      <c r="W43" s="61"/>
      <c r="X43" s="62"/>
      <c r="Y43" s="63"/>
      <c r="Z43" s="64"/>
      <c r="AA43" s="64"/>
      <c r="AB43" s="53"/>
      <c r="AC43" s="53"/>
      <c r="AD43" s="53"/>
      <c r="AE43" s="58"/>
      <c r="AF43" s="58"/>
      <c r="AG43" s="58"/>
      <c r="AH43" s="57"/>
      <c r="AI43" s="57"/>
      <c r="AJ43" s="57"/>
    </row>
    <row r="44" ht="15.75" customHeight="1">
      <c r="A44" s="36">
        <f t="shared" si="1"/>
        <v>39</v>
      </c>
      <c r="B44" s="17" t="s">
        <v>844</v>
      </c>
      <c r="C44" s="17" t="s">
        <v>842</v>
      </c>
      <c r="D44" s="60"/>
      <c r="E44" s="61"/>
      <c r="F44" s="62"/>
      <c r="G44" s="63"/>
      <c r="H44" s="64"/>
      <c r="I44" s="64"/>
      <c r="J44" s="60"/>
      <c r="K44" s="61"/>
      <c r="L44" s="62"/>
      <c r="M44" s="63"/>
      <c r="N44" s="64"/>
      <c r="O44" s="64"/>
      <c r="P44" s="60"/>
      <c r="Q44" s="61"/>
      <c r="R44" s="62"/>
      <c r="S44" s="63"/>
      <c r="T44" s="64"/>
      <c r="U44" s="64"/>
      <c r="V44" s="60"/>
      <c r="W44" s="61"/>
      <c r="X44" s="62"/>
      <c r="Y44" s="63"/>
      <c r="Z44" s="64"/>
      <c r="AA44" s="64"/>
      <c r="AB44" s="53"/>
      <c r="AC44" s="53"/>
      <c r="AD44" s="53"/>
      <c r="AE44" s="58"/>
      <c r="AF44" s="58"/>
      <c r="AG44" s="58"/>
      <c r="AH44" s="57"/>
      <c r="AI44" s="57"/>
      <c r="AJ44" s="57"/>
    </row>
    <row r="45" ht="15.75" customHeight="1">
      <c r="A45" s="36">
        <f t="shared" si="1"/>
        <v>40</v>
      </c>
      <c r="B45" s="17" t="s">
        <v>844</v>
      </c>
      <c r="C45" s="17" t="s">
        <v>843</v>
      </c>
      <c r="D45" s="60"/>
      <c r="E45" s="61"/>
      <c r="F45" s="62"/>
      <c r="G45" s="63"/>
      <c r="H45" s="64"/>
      <c r="I45" s="64"/>
      <c r="J45" s="60"/>
      <c r="K45" s="61"/>
      <c r="L45" s="62"/>
      <c r="M45" s="63"/>
      <c r="N45" s="64"/>
      <c r="O45" s="64"/>
      <c r="P45" s="60"/>
      <c r="Q45" s="61"/>
      <c r="R45" s="62"/>
      <c r="S45" s="63"/>
      <c r="T45" s="64"/>
      <c r="U45" s="64"/>
      <c r="V45" s="60"/>
      <c r="W45" s="61"/>
      <c r="X45" s="62"/>
      <c r="Y45" s="63"/>
      <c r="Z45" s="64"/>
      <c r="AA45" s="64"/>
      <c r="AB45" s="53"/>
      <c r="AC45" s="53"/>
      <c r="AD45" s="53"/>
      <c r="AE45" s="58"/>
      <c r="AF45" s="58"/>
      <c r="AG45" s="58"/>
      <c r="AH45" s="57"/>
      <c r="AI45" s="57"/>
      <c r="AJ45" s="57"/>
    </row>
    <row r="46" ht="15.75" customHeight="1">
      <c r="A46" s="36">
        <f t="shared" si="1"/>
        <v>41</v>
      </c>
      <c r="B46" s="17" t="s">
        <v>844</v>
      </c>
      <c r="C46" s="17" t="s">
        <v>844</v>
      </c>
      <c r="D46" s="60"/>
      <c r="E46" s="61"/>
      <c r="F46" s="62"/>
      <c r="G46" s="63"/>
      <c r="H46" s="64"/>
      <c r="I46" s="64"/>
      <c r="J46" s="60"/>
      <c r="K46" s="61"/>
      <c r="L46" s="62"/>
      <c r="M46" s="63"/>
      <c r="N46" s="64"/>
      <c r="O46" s="64"/>
      <c r="P46" s="60"/>
      <c r="Q46" s="61"/>
      <c r="R46" s="62"/>
      <c r="S46" s="63"/>
      <c r="T46" s="64"/>
      <c r="U46" s="64"/>
      <c r="V46" s="60"/>
      <c r="W46" s="61"/>
      <c r="X46" s="62"/>
      <c r="Y46" s="63"/>
      <c r="Z46" s="64"/>
      <c r="AA46" s="64"/>
      <c r="AB46" s="53"/>
      <c r="AC46" s="53"/>
      <c r="AD46" s="53"/>
      <c r="AE46" s="58"/>
      <c r="AF46" s="58"/>
      <c r="AG46" s="58"/>
      <c r="AH46" s="57"/>
      <c r="AI46" s="57"/>
      <c r="AJ46" s="57"/>
    </row>
    <row r="47" ht="15.75" customHeight="1">
      <c r="A47" s="36">
        <f t="shared" si="1"/>
        <v>42</v>
      </c>
      <c r="B47" s="17" t="s">
        <v>844</v>
      </c>
      <c r="C47" s="17" t="s">
        <v>845</v>
      </c>
      <c r="D47" s="60"/>
      <c r="E47" s="61"/>
      <c r="F47" s="62"/>
      <c r="G47" s="63"/>
      <c r="H47" s="64"/>
      <c r="I47" s="64"/>
      <c r="J47" s="60"/>
      <c r="K47" s="61"/>
      <c r="L47" s="62"/>
      <c r="M47" s="63"/>
      <c r="N47" s="64"/>
      <c r="O47" s="64"/>
      <c r="P47" s="60"/>
      <c r="Q47" s="61"/>
      <c r="R47" s="62"/>
      <c r="S47" s="63"/>
      <c r="T47" s="64"/>
      <c r="U47" s="64"/>
      <c r="V47" s="60"/>
      <c r="W47" s="61"/>
      <c r="X47" s="62"/>
      <c r="Y47" s="63"/>
      <c r="Z47" s="64"/>
      <c r="AA47" s="64"/>
      <c r="AB47" s="53"/>
      <c r="AC47" s="53"/>
      <c r="AD47" s="53"/>
      <c r="AE47" s="58"/>
      <c r="AF47" s="58"/>
      <c r="AG47" s="58"/>
      <c r="AH47" s="57"/>
      <c r="AI47" s="57"/>
      <c r="AJ47" s="57"/>
    </row>
    <row r="48" ht="15.75" customHeight="1">
      <c r="A48" s="36">
        <f t="shared" si="1"/>
        <v>43</v>
      </c>
      <c r="B48" s="17" t="s">
        <v>845</v>
      </c>
      <c r="C48" s="17" t="s">
        <v>839</v>
      </c>
      <c r="D48" s="60"/>
      <c r="E48" s="61"/>
      <c r="F48" s="62"/>
      <c r="G48" s="63"/>
      <c r="H48" s="64"/>
      <c r="I48" s="64"/>
      <c r="J48" s="60"/>
      <c r="K48" s="61"/>
      <c r="L48" s="62"/>
      <c r="M48" s="63"/>
      <c r="N48" s="64"/>
      <c r="O48" s="64"/>
      <c r="P48" s="60"/>
      <c r="Q48" s="61"/>
      <c r="R48" s="62"/>
      <c r="S48" s="63"/>
      <c r="T48" s="64"/>
      <c r="U48" s="64"/>
      <c r="V48" s="60"/>
      <c r="W48" s="61"/>
      <c r="X48" s="62"/>
      <c r="Y48" s="63"/>
      <c r="Z48" s="64"/>
      <c r="AA48" s="64"/>
      <c r="AB48" s="53"/>
      <c r="AC48" s="53"/>
      <c r="AD48" s="53"/>
      <c r="AE48" s="58"/>
      <c r="AF48" s="58"/>
      <c r="AG48" s="58"/>
      <c r="AH48" s="57"/>
      <c r="AI48" s="57"/>
      <c r="AJ48" s="57"/>
    </row>
    <row r="49" ht="15.75" customHeight="1">
      <c r="A49" s="36">
        <f t="shared" si="1"/>
        <v>44</v>
      </c>
      <c r="B49" s="17" t="s">
        <v>845</v>
      </c>
      <c r="C49" s="17" t="s">
        <v>840</v>
      </c>
      <c r="D49" s="60"/>
      <c r="E49" s="61"/>
      <c r="F49" s="62"/>
      <c r="G49" s="63"/>
      <c r="H49" s="64"/>
      <c r="I49" s="64"/>
      <c r="J49" s="60"/>
      <c r="K49" s="61"/>
      <c r="L49" s="62"/>
      <c r="M49" s="63"/>
      <c r="N49" s="64"/>
      <c r="O49" s="64"/>
      <c r="P49" s="60"/>
      <c r="Q49" s="61"/>
      <c r="R49" s="62"/>
      <c r="S49" s="63"/>
      <c r="T49" s="64"/>
      <c r="U49" s="64"/>
      <c r="V49" s="60"/>
      <c r="W49" s="61"/>
      <c r="X49" s="62"/>
      <c r="Y49" s="63"/>
      <c r="Z49" s="64"/>
      <c r="AA49" s="64"/>
      <c r="AB49" s="53"/>
      <c r="AC49" s="53"/>
      <c r="AD49" s="53"/>
      <c r="AE49" s="58"/>
      <c r="AF49" s="58"/>
      <c r="AG49" s="58"/>
      <c r="AH49" s="57"/>
      <c r="AI49" s="57"/>
      <c r="AJ49" s="57"/>
    </row>
    <row r="50" ht="15.75" customHeight="1">
      <c r="A50" s="36">
        <f t="shared" si="1"/>
        <v>45</v>
      </c>
      <c r="B50" s="17" t="s">
        <v>845</v>
      </c>
      <c r="C50" s="17" t="s">
        <v>841</v>
      </c>
      <c r="D50" s="60"/>
      <c r="E50" s="61"/>
      <c r="F50" s="62"/>
      <c r="G50" s="63"/>
      <c r="H50" s="64"/>
      <c r="I50" s="64"/>
      <c r="J50" s="60"/>
      <c r="K50" s="61"/>
      <c r="L50" s="62"/>
      <c r="M50" s="63"/>
      <c r="N50" s="64"/>
      <c r="O50" s="64"/>
      <c r="P50" s="60"/>
      <c r="Q50" s="61"/>
      <c r="R50" s="62"/>
      <c r="S50" s="63"/>
      <c r="T50" s="64"/>
      <c r="U50" s="64"/>
      <c r="V50" s="60"/>
      <c r="W50" s="61"/>
      <c r="X50" s="62"/>
      <c r="Y50" s="63"/>
      <c r="Z50" s="64"/>
      <c r="AA50" s="64"/>
      <c r="AB50" s="53"/>
      <c r="AC50" s="53"/>
      <c r="AD50" s="53"/>
      <c r="AE50" s="58"/>
      <c r="AF50" s="58"/>
      <c r="AG50" s="58"/>
      <c r="AH50" s="57"/>
      <c r="AI50" s="57"/>
      <c r="AJ50" s="57"/>
    </row>
    <row r="51" ht="15.75" customHeight="1">
      <c r="A51" s="36">
        <f t="shared" si="1"/>
        <v>46</v>
      </c>
      <c r="B51" s="17" t="s">
        <v>845</v>
      </c>
      <c r="C51" s="17" t="s">
        <v>842</v>
      </c>
      <c r="D51" s="60"/>
      <c r="E51" s="61"/>
      <c r="F51" s="62"/>
      <c r="G51" s="63"/>
      <c r="H51" s="64"/>
      <c r="I51" s="64"/>
      <c r="J51" s="60"/>
      <c r="K51" s="61"/>
      <c r="L51" s="62"/>
      <c r="M51" s="63"/>
      <c r="N51" s="64"/>
      <c r="O51" s="64"/>
      <c r="P51" s="60"/>
      <c r="Q51" s="61"/>
      <c r="R51" s="62"/>
      <c r="S51" s="63"/>
      <c r="T51" s="64"/>
      <c r="U51" s="64"/>
      <c r="V51" s="60"/>
      <c r="W51" s="61"/>
      <c r="X51" s="62"/>
      <c r="Y51" s="63"/>
      <c r="Z51" s="64"/>
      <c r="AA51" s="64"/>
      <c r="AB51" s="53"/>
      <c r="AC51" s="53"/>
      <c r="AD51" s="53"/>
      <c r="AE51" s="58"/>
      <c r="AF51" s="58"/>
      <c r="AG51" s="58"/>
      <c r="AH51" s="57"/>
      <c r="AI51" s="57"/>
      <c r="AJ51" s="57"/>
    </row>
    <row r="52" ht="15.75" customHeight="1">
      <c r="A52" s="36">
        <f t="shared" si="1"/>
        <v>47</v>
      </c>
      <c r="B52" s="17" t="s">
        <v>845</v>
      </c>
      <c r="C52" s="17" t="s">
        <v>843</v>
      </c>
      <c r="D52" s="60"/>
      <c r="E52" s="61"/>
      <c r="F52" s="62"/>
      <c r="G52" s="63"/>
      <c r="H52" s="64"/>
      <c r="I52" s="64"/>
      <c r="J52" s="60"/>
      <c r="K52" s="61"/>
      <c r="L52" s="62"/>
      <c r="M52" s="63"/>
      <c r="N52" s="64"/>
      <c r="O52" s="64"/>
      <c r="P52" s="60"/>
      <c r="Q52" s="61"/>
      <c r="R52" s="62"/>
      <c r="S52" s="63"/>
      <c r="T52" s="64"/>
      <c r="U52" s="64"/>
      <c r="V52" s="60"/>
      <c r="W52" s="61"/>
      <c r="X52" s="62"/>
      <c r="Y52" s="63"/>
      <c r="Z52" s="64"/>
      <c r="AA52" s="64"/>
      <c r="AB52" s="53"/>
      <c r="AC52" s="53"/>
      <c r="AD52" s="53"/>
      <c r="AE52" s="58"/>
      <c r="AF52" s="58"/>
      <c r="AG52" s="58"/>
      <c r="AH52" s="57"/>
      <c r="AI52" s="57"/>
      <c r="AJ52" s="57"/>
    </row>
    <row r="53" ht="15.75" customHeight="1">
      <c r="A53" s="36">
        <f t="shared" si="1"/>
        <v>48</v>
      </c>
      <c r="B53" s="17" t="s">
        <v>845</v>
      </c>
      <c r="C53" s="17" t="s">
        <v>844</v>
      </c>
      <c r="D53" s="60"/>
      <c r="E53" s="61"/>
      <c r="F53" s="62"/>
      <c r="G53" s="63"/>
      <c r="H53" s="64"/>
      <c r="I53" s="64"/>
      <c r="J53" s="60"/>
      <c r="K53" s="61"/>
      <c r="L53" s="62"/>
      <c r="M53" s="63"/>
      <c r="N53" s="64"/>
      <c r="O53" s="64"/>
      <c r="P53" s="60"/>
      <c r="Q53" s="61"/>
      <c r="R53" s="62"/>
      <c r="S53" s="63"/>
      <c r="T53" s="64"/>
      <c r="U53" s="64"/>
      <c r="V53" s="60"/>
      <c r="W53" s="61"/>
      <c r="X53" s="62"/>
      <c r="Y53" s="63"/>
      <c r="Z53" s="64"/>
      <c r="AA53" s="64"/>
      <c r="AB53" s="53"/>
      <c r="AC53" s="53"/>
      <c r="AD53" s="53"/>
      <c r="AE53" s="58"/>
      <c r="AF53" s="58"/>
      <c r="AG53" s="58"/>
      <c r="AH53" s="57"/>
      <c r="AI53" s="57"/>
      <c r="AJ53" s="57"/>
    </row>
    <row r="54" ht="15.75" customHeight="1">
      <c r="A54" s="36">
        <f t="shared" si="1"/>
        <v>49</v>
      </c>
      <c r="B54" s="17" t="s">
        <v>845</v>
      </c>
      <c r="C54" s="17" t="s">
        <v>845</v>
      </c>
      <c r="D54" s="60"/>
      <c r="E54" s="61"/>
      <c r="F54" s="62"/>
      <c r="G54" s="63"/>
      <c r="H54" s="64"/>
      <c r="I54" s="64"/>
      <c r="J54" s="60"/>
      <c r="K54" s="61"/>
      <c r="L54" s="62"/>
      <c r="M54" s="63"/>
      <c r="N54" s="64"/>
      <c r="O54" s="64"/>
      <c r="P54" s="60"/>
      <c r="Q54" s="61"/>
      <c r="R54" s="62"/>
      <c r="S54" s="63"/>
      <c r="T54" s="64"/>
      <c r="U54" s="64"/>
      <c r="V54" s="60"/>
      <c r="W54" s="61"/>
      <c r="X54" s="62"/>
      <c r="Y54" s="63"/>
      <c r="Z54" s="64"/>
      <c r="AA54" s="64"/>
      <c r="AB54" s="53"/>
      <c r="AC54" s="53"/>
      <c r="AD54" s="53"/>
      <c r="AE54" s="58"/>
      <c r="AF54" s="58"/>
      <c r="AG54" s="58"/>
      <c r="AH54" s="57"/>
      <c r="AI54" s="57"/>
      <c r="AJ54" s="57"/>
    </row>
    <row r="55" ht="15.75" customHeight="1">
      <c r="A55" s="36">
        <f t="shared" si="1"/>
        <v>50</v>
      </c>
      <c r="B55" s="2" t="s">
        <v>846</v>
      </c>
      <c r="C55" s="2" t="s">
        <v>846</v>
      </c>
      <c r="D55" s="60"/>
      <c r="E55" s="61"/>
      <c r="F55" s="62"/>
      <c r="G55" s="63"/>
      <c r="H55" s="64"/>
      <c r="I55" s="64"/>
      <c r="J55" s="60"/>
      <c r="K55" s="61"/>
      <c r="L55" s="62"/>
      <c r="M55" s="63"/>
      <c r="N55" s="64"/>
      <c r="O55" s="64"/>
      <c r="P55" s="60"/>
      <c r="Q55" s="61"/>
      <c r="R55" s="62"/>
      <c r="S55" s="63"/>
      <c r="T55" s="64"/>
      <c r="U55" s="64"/>
      <c r="V55" s="60"/>
      <c r="W55" s="61"/>
      <c r="X55" s="62"/>
      <c r="Y55" s="63"/>
      <c r="Z55" s="64"/>
      <c r="AA55" s="64"/>
      <c r="AB55" s="2"/>
      <c r="AC55" s="2"/>
      <c r="AD55" s="2"/>
      <c r="AE55" s="2"/>
      <c r="AF55" s="2"/>
      <c r="AG55" s="2"/>
      <c r="AH55" s="2"/>
      <c r="AI55" s="2"/>
      <c r="AJ55" s="2"/>
    </row>
    <row r="56" ht="14.25" customHeight="1">
      <c r="A56" s="44"/>
      <c r="B56" s="12"/>
      <c r="C56" s="12"/>
      <c r="D56" s="2"/>
      <c r="E56" s="2"/>
      <c r="F56" s="12"/>
      <c r="G56" s="10"/>
      <c r="H56" s="8"/>
      <c r="I56" s="12"/>
      <c r="J56" s="8"/>
      <c r="K56" s="8"/>
      <c r="L56" s="8"/>
      <c r="M56" s="8"/>
      <c r="N56" s="8"/>
      <c r="O56" s="8"/>
      <c r="P56" s="12"/>
      <c r="Q56" s="8"/>
      <c r="R56" s="1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8"/>
      <c r="AI56" s="8"/>
      <c r="AJ56" s="8"/>
    </row>
    <row r="57" ht="14.25" customHeight="1">
      <c r="A57" s="44"/>
      <c r="B57" s="12"/>
      <c r="C57" s="12"/>
      <c r="F57" s="12"/>
      <c r="G57" s="10"/>
      <c r="H57" s="8"/>
      <c r="I57" s="12"/>
      <c r="J57" s="8"/>
      <c r="K57" s="8"/>
      <c r="L57" s="8"/>
      <c r="M57" s="8"/>
      <c r="N57" s="8"/>
      <c r="O57" s="8"/>
      <c r="P57" s="12"/>
      <c r="Q57" s="8"/>
      <c r="R57" s="12"/>
      <c r="T57" s="12"/>
      <c r="AH57" s="8"/>
      <c r="AI57" s="8"/>
      <c r="AJ57" s="8"/>
    </row>
    <row r="58" ht="14.25" customHeight="1">
      <c r="A58" s="44"/>
      <c r="B58" s="12"/>
      <c r="C58" s="12"/>
      <c r="F58" s="12"/>
      <c r="G58" s="10"/>
      <c r="H58" s="8"/>
      <c r="I58" s="12"/>
      <c r="J58" s="8"/>
      <c r="K58" s="8"/>
      <c r="L58" s="8"/>
      <c r="M58" s="8"/>
      <c r="N58" s="8"/>
      <c r="O58" s="8"/>
      <c r="P58" s="12"/>
      <c r="Q58" s="8"/>
      <c r="R58" s="12"/>
      <c r="T58" s="12"/>
      <c r="AH58" s="8"/>
      <c r="AI58" s="8"/>
      <c r="AJ58" s="8"/>
    </row>
    <row r="59" ht="14.25" customHeight="1">
      <c r="A59" s="44"/>
      <c r="B59" s="12"/>
      <c r="C59" s="12"/>
      <c r="F59" s="12"/>
      <c r="G59" s="10"/>
      <c r="H59" s="8"/>
      <c r="I59" s="12"/>
      <c r="J59" s="8"/>
      <c r="K59" s="8"/>
      <c r="L59" s="8"/>
      <c r="M59" s="8"/>
      <c r="N59" s="8"/>
      <c r="O59" s="8"/>
      <c r="P59" s="12"/>
      <c r="Q59" s="8"/>
      <c r="R59" s="12"/>
      <c r="T59" s="12"/>
      <c r="AH59" s="8"/>
      <c r="AI59" s="8"/>
      <c r="AJ59" s="8"/>
    </row>
    <row r="60" ht="14.25" customHeight="1">
      <c r="A60" s="44"/>
      <c r="B60" s="12"/>
      <c r="C60" s="12"/>
      <c r="F60" s="12"/>
      <c r="G60" s="10"/>
      <c r="H60" s="8"/>
      <c r="I60" s="12"/>
      <c r="J60" s="8"/>
      <c r="K60" s="8"/>
      <c r="L60" s="8"/>
      <c r="M60" s="8"/>
      <c r="N60" s="8"/>
      <c r="O60" s="8"/>
      <c r="P60" s="12"/>
      <c r="Q60" s="8"/>
      <c r="R60" s="12"/>
      <c r="T60" s="12"/>
      <c r="AH60" s="8"/>
      <c r="AI60" s="8"/>
      <c r="AJ60" s="8"/>
    </row>
    <row r="61" ht="14.25" customHeight="1">
      <c r="A61" s="44"/>
      <c r="B61" s="12"/>
      <c r="C61" s="12"/>
      <c r="F61" s="12"/>
      <c r="G61" s="10"/>
      <c r="H61" s="8"/>
      <c r="I61" s="12"/>
      <c r="J61" s="8"/>
      <c r="K61" s="8"/>
      <c r="L61" s="8"/>
      <c r="M61" s="8"/>
      <c r="N61" s="8"/>
      <c r="O61" s="8"/>
      <c r="P61" s="12"/>
      <c r="Q61" s="8"/>
      <c r="R61" s="12"/>
      <c r="T61" s="12"/>
      <c r="AH61" s="8"/>
      <c r="AI61" s="8"/>
      <c r="AJ61" s="8"/>
    </row>
    <row r="62" ht="14.25" customHeight="1">
      <c r="A62" s="44"/>
      <c r="B62" s="12"/>
      <c r="C62" s="12"/>
      <c r="F62" s="12"/>
      <c r="G62" s="10"/>
      <c r="H62" s="8"/>
      <c r="I62" s="12"/>
      <c r="J62" s="8"/>
      <c r="K62" s="8"/>
      <c r="L62" s="8"/>
      <c r="M62" s="8"/>
      <c r="N62" s="8"/>
      <c r="O62" s="8"/>
      <c r="P62" s="12"/>
      <c r="Q62" s="8"/>
      <c r="R62" s="12"/>
      <c r="T62" s="12"/>
      <c r="AH62" s="8"/>
      <c r="AI62" s="8"/>
      <c r="AJ62" s="8"/>
    </row>
    <row r="63" ht="14.25" customHeight="1">
      <c r="A63" s="44"/>
      <c r="B63" s="12"/>
      <c r="C63" s="12"/>
      <c r="F63" s="12"/>
      <c r="G63" s="10"/>
      <c r="H63" s="8"/>
      <c r="I63" s="12"/>
      <c r="J63" s="8"/>
      <c r="K63" s="8"/>
      <c r="L63" s="8"/>
      <c r="M63" s="8"/>
      <c r="N63" s="8"/>
      <c r="O63" s="8"/>
      <c r="P63" s="12"/>
      <c r="Q63" s="8"/>
      <c r="R63" s="12"/>
      <c r="T63" s="12"/>
      <c r="AH63" s="8"/>
      <c r="AI63" s="8"/>
      <c r="AJ63" s="8"/>
    </row>
    <row r="64" ht="14.25" customHeight="1">
      <c r="A64" s="44"/>
      <c r="B64" s="12"/>
      <c r="C64" s="12"/>
      <c r="F64" s="12"/>
      <c r="G64" s="10"/>
      <c r="H64" s="8"/>
      <c r="I64" s="12"/>
      <c r="J64" s="8"/>
      <c r="K64" s="8"/>
      <c r="L64" s="8"/>
      <c r="M64" s="8"/>
      <c r="N64" s="8"/>
      <c r="O64" s="8"/>
      <c r="P64" s="12"/>
      <c r="Q64" s="8"/>
      <c r="R64" s="12"/>
      <c r="T64" s="12"/>
      <c r="AH64" s="8"/>
      <c r="AI64" s="8"/>
      <c r="AJ64" s="8"/>
    </row>
    <row r="65" ht="14.25" customHeight="1">
      <c r="A65" s="44"/>
      <c r="B65" s="12"/>
      <c r="C65" s="12"/>
      <c r="F65" s="12"/>
      <c r="G65" s="10"/>
      <c r="H65" s="8"/>
      <c r="I65" s="12"/>
      <c r="J65" s="8"/>
      <c r="K65" s="8"/>
      <c r="L65" s="8"/>
      <c r="M65" s="8"/>
      <c r="N65" s="8"/>
      <c r="O65" s="8"/>
      <c r="P65" s="12"/>
      <c r="Q65" s="8"/>
      <c r="R65" s="12"/>
      <c r="T65" s="12"/>
      <c r="AH65" s="8"/>
      <c r="AI65" s="8"/>
      <c r="AJ65" s="8"/>
    </row>
    <row r="66" ht="14.25" customHeight="1">
      <c r="A66" s="44"/>
      <c r="B66" s="12"/>
      <c r="C66" s="12"/>
      <c r="F66" s="12"/>
      <c r="G66" s="10"/>
      <c r="H66" s="8"/>
      <c r="I66" s="12"/>
      <c r="J66" s="8"/>
      <c r="K66" s="8"/>
      <c r="L66" s="8"/>
      <c r="M66" s="8"/>
      <c r="N66" s="8"/>
      <c r="O66" s="8"/>
      <c r="P66" s="12"/>
      <c r="Q66" s="8"/>
      <c r="R66" s="12"/>
      <c r="T66" s="12"/>
      <c r="AH66" s="8"/>
      <c r="AI66" s="8"/>
      <c r="AJ66" s="8"/>
    </row>
    <row r="67" ht="14.25" customHeight="1">
      <c r="A67" s="44"/>
      <c r="B67" s="12"/>
      <c r="C67" s="12"/>
      <c r="F67" s="12"/>
      <c r="G67" s="10"/>
      <c r="H67" s="8"/>
      <c r="I67" s="12"/>
      <c r="J67" s="8"/>
      <c r="K67" s="8"/>
      <c r="L67" s="8"/>
      <c r="M67" s="8"/>
      <c r="N67" s="8"/>
      <c r="O67" s="8"/>
      <c r="P67" s="12"/>
      <c r="Q67" s="8"/>
      <c r="R67" s="12"/>
      <c r="T67" s="12"/>
      <c r="AH67" s="8"/>
      <c r="AI67" s="8"/>
      <c r="AJ67" s="8"/>
    </row>
    <row r="68" ht="14.25" customHeight="1">
      <c r="A68" s="44"/>
      <c r="B68" s="12"/>
      <c r="C68" s="12"/>
      <c r="F68" s="12"/>
      <c r="G68" s="10"/>
      <c r="H68" s="8"/>
      <c r="I68" s="12"/>
      <c r="J68" s="8"/>
      <c r="K68" s="8"/>
      <c r="L68" s="8"/>
      <c r="M68" s="8"/>
      <c r="N68" s="8"/>
      <c r="O68" s="8"/>
      <c r="P68" s="12"/>
      <c r="Q68" s="8"/>
      <c r="R68" s="12"/>
      <c r="T68" s="12"/>
      <c r="AH68" s="8"/>
      <c r="AI68" s="8"/>
      <c r="AJ68" s="8"/>
    </row>
    <row r="69" ht="14.25" customHeight="1">
      <c r="A69" s="44"/>
      <c r="B69" s="12"/>
      <c r="C69" s="12"/>
      <c r="F69" s="12"/>
      <c r="G69" s="10"/>
      <c r="H69" s="8"/>
      <c r="I69" s="12"/>
      <c r="J69" s="8"/>
      <c r="K69" s="8"/>
      <c r="L69" s="8"/>
      <c r="M69" s="8"/>
      <c r="N69" s="8"/>
      <c r="O69" s="8"/>
      <c r="P69" s="12"/>
      <c r="Q69" s="8"/>
      <c r="R69" s="12"/>
      <c r="T69" s="12"/>
      <c r="AH69" s="8"/>
      <c r="AI69" s="8"/>
      <c r="AJ69" s="8"/>
    </row>
    <row r="70" ht="14.25" customHeight="1">
      <c r="A70" s="44"/>
      <c r="B70" s="12"/>
      <c r="C70" s="12"/>
      <c r="F70" s="12"/>
      <c r="G70" s="10"/>
      <c r="H70" s="8"/>
      <c r="I70" s="12"/>
      <c r="J70" s="8"/>
      <c r="K70" s="8"/>
      <c r="L70" s="8"/>
      <c r="M70" s="8"/>
      <c r="N70" s="8"/>
      <c r="O70" s="8"/>
      <c r="P70" s="12"/>
      <c r="Q70" s="8"/>
      <c r="R70" s="12"/>
      <c r="T70" s="12"/>
      <c r="AH70" s="8"/>
      <c r="AI70" s="8"/>
      <c r="AJ70" s="8"/>
    </row>
    <row r="71" ht="14.25" customHeight="1">
      <c r="A71" s="44"/>
      <c r="B71" s="12"/>
      <c r="C71" s="12"/>
      <c r="F71" s="12"/>
      <c r="G71" s="10"/>
      <c r="H71" s="8"/>
      <c r="I71" s="12"/>
      <c r="J71" s="8"/>
      <c r="K71" s="8"/>
      <c r="L71" s="8"/>
      <c r="M71" s="8"/>
      <c r="N71" s="8"/>
      <c r="O71" s="8"/>
      <c r="P71" s="12"/>
      <c r="Q71" s="8"/>
      <c r="R71" s="12"/>
      <c r="T71" s="12"/>
      <c r="AH71" s="8"/>
      <c r="AI71" s="8"/>
      <c r="AJ71" s="8"/>
    </row>
    <row r="72" ht="14.25" customHeight="1">
      <c r="A72" s="44"/>
      <c r="B72" s="12"/>
      <c r="C72" s="12"/>
      <c r="F72" s="12"/>
      <c r="G72" s="10"/>
      <c r="H72" s="8"/>
      <c r="I72" s="12"/>
      <c r="J72" s="8"/>
      <c r="K72" s="8"/>
      <c r="L72" s="8"/>
      <c r="M72" s="8"/>
      <c r="N72" s="8"/>
      <c r="O72" s="8"/>
      <c r="P72" s="12"/>
      <c r="Q72" s="8"/>
      <c r="R72" s="12"/>
      <c r="T72" s="12"/>
      <c r="AH72" s="8"/>
      <c r="AI72" s="8"/>
      <c r="AJ72" s="8"/>
    </row>
    <row r="73" ht="14.25" customHeight="1">
      <c r="A73" s="44"/>
      <c r="B73" s="12"/>
      <c r="C73" s="12"/>
      <c r="F73" s="12"/>
      <c r="G73" s="10"/>
      <c r="H73" s="8"/>
      <c r="I73" s="12"/>
      <c r="J73" s="8"/>
      <c r="K73" s="8"/>
      <c r="L73" s="8"/>
      <c r="M73" s="8"/>
      <c r="N73" s="8"/>
      <c r="O73" s="8"/>
      <c r="P73" s="12"/>
      <c r="Q73" s="8"/>
      <c r="R73" s="12"/>
      <c r="T73" s="12"/>
      <c r="AH73" s="8"/>
      <c r="AI73" s="8"/>
      <c r="AJ73" s="8"/>
    </row>
    <row r="74" ht="14.25" customHeight="1">
      <c r="A74" s="44"/>
      <c r="B74" s="12"/>
      <c r="C74" s="12"/>
      <c r="F74" s="12"/>
      <c r="G74" s="10"/>
      <c r="H74" s="8"/>
      <c r="I74" s="12"/>
      <c r="J74" s="8"/>
      <c r="K74" s="8"/>
      <c r="L74" s="8"/>
      <c r="M74" s="8"/>
      <c r="N74" s="8"/>
      <c r="O74" s="8"/>
      <c r="P74" s="12"/>
      <c r="Q74" s="8"/>
      <c r="R74" s="12"/>
      <c r="T74" s="12"/>
      <c r="AH74" s="8"/>
      <c r="AI74" s="8"/>
      <c r="AJ74" s="8"/>
    </row>
    <row r="75" ht="14.25" customHeight="1">
      <c r="A75" s="44"/>
      <c r="B75" s="12"/>
      <c r="C75" s="12"/>
      <c r="F75" s="12"/>
      <c r="G75" s="10"/>
      <c r="H75" s="8"/>
      <c r="I75" s="12"/>
      <c r="J75" s="8"/>
      <c r="K75" s="8"/>
      <c r="L75" s="8"/>
      <c r="M75" s="8"/>
      <c r="N75" s="8"/>
      <c r="O75" s="8"/>
      <c r="P75" s="12"/>
      <c r="Q75" s="8"/>
      <c r="R75" s="12"/>
      <c r="T75" s="12"/>
      <c r="AH75" s="8"/>
      <c r="AI75" s="8"/>
      <c r="AJ75" s="8"/>
    </row>
    <row r="76" ht="14.25" customHeight="1">
      <c r="A76" s="44"/>
      <c r="B76" s="12"/>
      <c r="C76" s="12"/>
      <c r="F76" s="12"/>
      <c r="G76" s="10"/>
      <c r="H76" s="8"/>
      <c r="I76" s="12"/>
      <c r="J76" s="8"/>
      <c r="K76" s="8"/>
      <c r="L76" s="8"/>
      <c r="M76" s="8"/>
      <c r="N76" s="8"/>
      <c r="O76" s="8"/>
      <c r="P76" s="12"/>
      <c r="Q76" s="8"/>
      <c r="R76" s="12"/>
      <c r="T76" s="12"/>
      <c r="AH76" s="8"/>
      <c r="AI76" s="8"/>
      <c r="AJ76" s="8"/>
    </row>
    <row r="77" ht="14.25" customHeight="1">
      <c r="A77" s="44"/>
      <c r="B77" s="12"/>
      <c r="C77" s="12"/>
      <c r="F77" s="12"/>
      <c r="G77" s="10"/>
      <c r="H77" s="8"/>
      <c r="I77" s="12"/>
      <c r="J77" s="8"/>
      <c r="K77" s="8"/>
      <c r="L77" s="8"/>
      <c r="M77" s="8"/>
      <c r="N77" s="8"/>
      <c r="O77" s="8"/>
      <c r="P77" s="12"/>
      <c r="Q77" s="8"/>
      <c r="R77" s="12"/>
      <c r="T77" s="12"/>
      <c r="AH77" s="8"/>
      <c r="AI77" s="8"/>
      <c r="AJ77" s="8"/>
    </row>
    <row r="78" ht="14.25" customHeight="1">
      <c r="A78" s="44"/>
      <c r="B78" s="12"/>
      <c r="C78" s="12"/>
      <c r="F78" s="12"/>
      <c r="G78" s="10"/>
      <c r="H78" s="8"/>
      <c r="I78" s="12"/>
      <c r="J78" s="8"/>
      <c r="K78" s="8"/>
      <c r="L78" s="8"/>
      <c r="M78" s="8"/>
      <c r="N78" s="8"/>
      <c r="O78" s="8"/>
      <c r="P78" s="12"/>
      <c r="Q78" s="8"/>
      <c r="R78" s="12"/>
      <c r="T78" s="12"/>
      <c r="AH78" s="8"/>
      <c r="AI78" s="8"/>
      <c r="AJ78" s="8"/>
    </row>
    <row r="79" ht="14.25" customHeight="1">
      <c r="A79" s="44"/>
      <c r="B79" s="12"/>
      <c r="C79" s="12"/>
      <c r="F79" s="12"/>
      <c r="G79" s="10"/>
      <c r="H79" s="8"/>
      <c r="I79" s="12"/>
      <c r="J79" s="8"/>
      <c r="K79" s="8"/>
      <c r="L79" s="8"/>
      <c r="M79" s="8"/>
      <c r="N79" s="8"/>
      <c r="O79" s="8"/>
      <c r="P79" s="12"/>
      <c r="Q79" s="8"/>
      <c r="R79" s="12"/>
      <c r="T79" s="12"/>
      <c r="AH79" s="8"/>
      <c r="AI79" s="8"/>
      <c r="AJ79" s="8"/>
    </row>
    <row r="80" ht="14.25" customHeight="1">
      <c r="A80" s="44"/>
      <c r="B80" s="12"/>
      <c r="C80" s="12"/>
      <c r="F80" s="12"/>
      <c r="G80" s="10"/>
      <c r="H80" s="8"/>
      <c r="I80" s="12"/>
      <c r="J80" s="8"/>
      <c r="K80" s="8"/>
      <c r="L80" s="8"/>
      <c r="M80" s="8"/>
      <c r="N80" s="8"/>
      <c r="O80" s="8"/>
      <c r="P80" s="12"/>
      <c r="Q80" s="8"/>
      <c r="R80" s="12"/>
      <c r="T80" s="12"/>
      <c r="AH80" s="8"/>
      <c r="AI80" s="8"/>
      <c r="AJ80" s="8"/>
    </row>
    <row r="81" ht="14.25" customHeight="1">
      <c r="A81" s="44"/>
      <c r="B81" s="12"/>
      <c r="C81" s="12"/>
      <c r="F81" s="12"/>
      <c r="G81" s="10"/>
      <c r="H81" s="8"/>
      <c r="I81" s="12"/>
      <c r="J81" s="8"/>
      <c r="K81" s="8"/>
      <c r="L81" s="8"/>
      <c r="M81" s="8"/>
      <c r="N81" s="8"/>
      <c r="O81" s="8"/>
      <c r="P81" s="12"/>
      <c r="Q81" s="8"/>
      <c r="R81" s="12"/>
      <c r="T81" s="12"/>
      <c r="AH81" s="8"/>
      <c r="AI81" s="8"/>
      <c r="AJ81" s="8"/>
    </row>
    <row r="82" ht="14.25" customHeight="1">
      <c r="A82" s="44"/>
      <c r="B82" s="12"/>
      <c r="C82" s="12"/>
      <c r="F82" s="12"/>
      <c r="G82" s="10"/>
      <c r="H82" s="8"/>
      <c r="I82" s="12"/>
      <c r="J82" s="8"/>
      <c r="K82" s="8"/>
      <c r="L82" s="8"/>
      <c r="M82" s="8"/>
      <c r="N82" s="8"/>
      <c r="O82" s="8"/>
      <c r="P82" s="12"/>
      <c r="Q82" s="8"/>
      <c r="R82" s="12"/>
      <c r="T82" s="12"/>
      <c r="AH82" s="8"/>
      <c r="AI82" s="8"/>
      <c r="AJ82" s="8"/>
    </row>
    <row r="83" ht="14.25" customHeight="1">
      <c r="A83" s="44"/>
      <c r="B83" s="12"/>
      <c r="C83" s="12"/>
      <c r="F83" s="12"/>
      <c r="G83" s="10"/>
      <c r="H83" s="8"/>
      <c r="I83" s="12"/>
      <c r="J83" s="8"/>
      <c r="K83" s="8"/>
      <c r="L83" s="8"/>
      <c r="M83" s="8"/>
      <c r="N83" s="8"/>
      <c r="O83" s="8"/>
      <c r="P83" s="12"/>
      <c r="Q83" s="8"/>
      <c r="R83" s="12"/>
      <c r="T83" s="12"/>
      <c r="AH83" s="8"/>
      <c r="AI83" s="8"/>
      <c r="AJ83" s="8"/>
    </row>
    <row r="84" ht="14.25" customHeight="1">
      <c r="A84" s="44"/>
      <c r="B84" s="12"/>
      <c r="C84" s="12"/>
      <c r="F84" s="12"/>
      <c r="G84" s="10"/>
      <c r="H84" s="8"/>
      <c r="I84" s="12"/>
      <c r="J84" s="8"/>
      <c r="K84" s="8"/>
      <c r="L84" s="8"/>
      <c r="M84" s="8"/>
      <c r="N84" s="8"/>
      <c r="O84" s="8"/>
      <c r="P84" s="12"/>
      <c r="Q84" s="8"/>
      <c r="R84" s="12"/>
      <c r="T84" s="12"/>
      <c r="AH84" s="8"/>
      <c r="AI84" s="8"/>
      <c r="AJ84" s="8"/>
    </row>
    <row r="85" ht="14.25" customHeight="1">
      <c r="A85" s="44"/>
      <c r="B85" s="12"/>
      <c r="C85" s="12"/>
      <c r="F85" s="12"/>
      <c r="G85" s="10"/>
      <c r="H85" s="8"/>
      <c r="I85" s="12"/>
      <c r="J85" s="8"/>
      <c r="K85" s="8"/>
      <c r="L85" s="8"/>
      <c r="M85" s="8"/>
      <c r="N85" s="8"/>
      <c r="O85" s="8"/>
      <c r="P85" s="12"/>
      <c r="Q85" s="8"/>
      <c r="R85" s="12"/>
      <c r="T85" s="12"/>
      <c r="AH85" s="8"/>
      <c r="AI85" s="8"/>
      <c r="AJ85" s="8"/>
    </row>
    <row r="86" ht="14.25" customHeight="1">
      <c r="A86" s="44"/>
      <c r="B86" s="12"/>
      <c r="C86" s="12"/>
      <c r="F86" s="12"/>
      <c r="G86" s="10"/>
      <c r="H86" s="8"/>
      <c r="I86" s="12"/>
      <c r="J86" s="8"/>
      <c r="K86" s="8"/>
      <c r="L86" s="8"/>
      <c r="M86" s="8"/>
      <c r="N86" s="8"/>
      <c r="O86" s="8"/>
      <c r="P86" s="12"/>
      <c r="Q86" s="8"/>
      <c r="R86" s="12"/>
      <c r="T86" s="12"/>
      <c r="AH86" s="8"/>
      <c r="AI86" s="8"/>
      <c r="AJ86" s="8"/>
    </row>
    <row r="87" ht="14.25" customHeight="1">
      <c r="A87" s="44"/>
      <c r="B87" s="12"/>
      <c r="C87" s="12"/>
      <c r="F87" s="12"/>
      <c r="G87" s="10"/>
      <c r="H87" s="8"/>
      <c r="I87" s="12"/>
      <c r="J87" s="8"/>
      <c r="K87" s="8"/>
      <c r="L87" s="8"/>
      <c r="M87" s="8"/>
      <c r="N87" s="8"/>
      <c r="O87" s="8"/>
      <c r="P87" s="12"/>
      <c r="Q87" s="8"/>
      <c r="R87" s="12"/>
      <c r="T87" s="12"/>
      <c r="AH87" s="8"/>
      <c r="AI87" s="8"/>
      <c r="AJ87" s="8"/>
    </row>
    <row r="88" ht="14.25" customHeight="1">
      <c r="A88" s="44"/>
      <c r="B88" s="12"/>
      <c r="C88" s="12"/>
      <c r="F88" s="12"/>
      <c r="G88" s="10"/>
      <c r="H88" s="8"/>
      <c r="I88" s="12"/>
      <c r="J88" s="8"/>
      <c r="K88" s="8"/>
      <c r="L88" s="8"/>
      <c r="M88" s="8"/>
      <c r="N88" s="8"/>
      <c r="O88" s="8"/>
      <c r="P88" s="12"/>
      <c r="Q88" s="8"/>
      <c r="R88" s="12"/>
      <c r="T88" s="12"/>
      <c r="AH88" s="8"/>
      <c r="AI88" s="8"/>
      <c r="AJ88" s="8"/>
    </row>
    <row r="89" ht="14.25" customHeight="1">
      <c r="A89" s="44"/>
      <c r="B89" s="12"/>
      <c r="C89" s="12"/>
      <c r="F89" s="12"/>
      <c r="G89" s="10"/>
      <c r="H89" s="8"/>
      <c r="I89" s="12"/>
      <c r="J89" s="8"/>
      <c r="K89" s="8"/>
      <c r="L89" s="8"/>
      <c r="M89" s="8"/>
      <c r="N89" s="8"/>
      <c r="O89" s="8"/>
      <c r="P89" s="12"/>
      <c r="Q89" s="8"/>
      <c r="R89" s="12"/>
      <c r="T89" s="12"/>
      <c r="AH89" s="8"/>
      <c r="AI89" s="8"/>
      <c r="AJ89" s="8"/>
    </row>
    <row r="90" ht="14.25" customHeight="1">
      <c r="A90" s="44"/>
      <c r="B90" s="12"/>
      <c r="C90" s="12"/>
      <c r="F90" s="12"/>
      <c r="G90" s="10"/>
      <c r="H90" s="8"/>
      <c r="I90" s="12"/>
      <c r="J90" s="8"/>
      <c r="K90" s="8"/>
      <c r="L90" s="8"/>
      <c r="M90" s="8"/>
      <c r="N90" s="8"/>
      <c r="O90" s="8"/>
      <c r="P90" s="12"/>
      <c r="Q90" s="8"/>
      <c r="R90" s="12"/>
      <c r="T90" s="12"/>
      <c r="AH90" s="8"/>
      <c r="AI90" s="8"/>
      <c r="AJ90" s="8"/>
    </row>
    <row r="91" ht="14.25" customHeight="1">
      <c r="A91" s="44"/>
      <c r="B91" s="12"/>
      <c r="C91" s="12"/>
      <c r="F91" s="12"/>
      <c r="G91" s="10"/>
      <c r="H91" s="8"/>
      <c r="I91" s="12"/>
      <c r="J91" s="8"/>
      <c r="K91" s="8"/>
      <c r="L91" s="8"/>
      <c r="M91" s="8"/>
      <c r="N91" s="8"/>
      <c r="O91" s="8"/>
      <c r="P91" s="12"/>
      <c r="Q91" s="8"/>
      <c r="R91" s="12"/>
      <c r="T91" s="12"/>
      <c r="AH91" s="8"/>
      <c r="AI91" s="8"/>
      <c r="AJ91" s="8"/>
    </row>
    <row r="92" ht="14.25" customHeight="1">
      <c r="A92" s="44"/>
      <c r="B92" s="12"/>
      <c r="C92" s="12"/>
      <c r="F92" s="12"/>
      <c r="G92" s="10"/>
      <c r="H92" s="8"/>
      <c r="I92" s="12"/>
      <c r="J92" s="8"/>
      <c r="K92" s="8"/>
      <c r="L92" s="8"/>
      <c r="M92" s="8"/>
      <c r="N92" s="8"/>
      <c r="O92" s="8"/>
      <c r="P92" s="12"/>
      <c r="Q92" s="8"/>
      <c r="R92" s="12"/>
      <c r="T92" s="12"/>
      <c r="AH92" s="8"/>
      <c r="AI92" s="8"/>
      <c r="AJ92" s="8"/>
    </row>
    <row r="93" ht="14.25" customHeight="1">
      <c r="A93" s="44"/>
      <c r="B93" s="12"/>
      <c r="C93" s="12"/>
      <c r="F93" s="12"/>
      <c r="G93" s="10"/>
      <c r="H93" s="8"/>
      <c r="I93" s="12"/>
      <c r="J93" s="8"/>
      <c r="K93" s="8"/>
      <c r="L93" s="8"/>
      <c r="M93" s="8"/>
      <c r="N93" s="8"/>
      <c r="O93" s="8"/>
      <c r="P93" s="12"/>
      <c r="Q93" s="8"/>
      <c r="R93" s="12"/>
      <c r="T93" s="12"/>
      <c r="AH93" s="8"/>
      <c r="AI93" s="8"/>
      <c r="AJ93" s="8"/>
    </row>
    <row r="94" ht="14.25" customHeight="1">
      <c r="A94" s="44"/>
      <c r="B94" s="12"/>
      <c r="C94" s="12"/>
      <c r="F94" s="12"/>
      <c r="G94" s="10"/>
      <c r="H94" s="8"/>
      <c r="I94" s="12"/>
      <c r="J94" s="8"/>
      <c r="K94" s="8"/>
      <c r="L94" s="8"/>
      <c r="M94" s="8"/>
      <c r="N94" s="8"/>
      <c r="O94" s="8"/>
      <c r="P94" s="12"/>
      <c r="Q94" s="8"/>
      <c r="R94" s="12"/>
      <c r="T94" s="12"/>
      <c r="AH94" s="8"/>
      <c r="AI94" s="8"/>
      <c r="AJ94" s="8"/>
    </row>
    <row r="95" ht="14.25" customHeight="1">
      <c r="A95" s="44"/>
      <c r="B95" s="12"/>
      <c r="C95" s="12"/>
      <c r="F95" s="12"/>
      <c r="G95" s="10"/>
      <c r="H95" s="8"/>
      <c r="I95" s="12"/>
      <c r="J95" s="8"/>
      <c r="K95" s="8"/>
      <c r="L95" s="8"/>
      <c r="M95" s="8"/>
      <c r="N95" s="8"/>
      <c r="O95" s="8"/>
      <c r="P95" s="12"/>
      <c r="Q95" s="8"/>
      <c r="R95" s="12"/>
      <c r="T95" s="12"/>
      <c r="AH95" s="8"/>
      <c r="AI95" s="8"/>
      <c r="AJ95" s="8"/>
    </row>
    <row r="96" ht="14.25" customHeight="1">
      <c r="A96" s="44"/>
      <c r="B96" s="12"/>
      <c r="C96" s="12"/>
      <c r="F96" s="12"/>
      <c r="G96" s="10"/>
      <c r="H96" s="8"/>
      <c r="I96" s="12"/>
      <c r="J96" s="8"/>
      <c r="K96" s="8"/>
      <c r="L96" s="8"/>
      <c r="M96" s="8"/>
      <c r="N96" s="8"/>
      <c r="O96" s="8"/>
      <c r="P96" s="12"/>
      <c r="Q96" s="8"/>
      <c r="R96" s="12"/>
      <c r="T96" s="12"/>
      <c r="AH96" s="8"/>
      <c r="AI96" s="8"/>
      <c r="AJ96" s="8"/>
    </row>
    <row r="97" ht="14.25" customHeight="1">
      <c r="A97" s="44"/>
      <c r="B97" s="12"/>
      <c r="C97" s="12"/>
      <c r="F97" s="12"/>
      <c r="G97" s="10"/>
      <c r="H97" s="8"/>
      <c r="I97" s="12"/>
      <c r="J97" s="8"/>
      <c r="K97" s="8"/>
      <c r="L97" s="8"/>
      <c r="M97" s="8"/>
      <c r="N97" s="8"/>
      <c r="O97" s="8"/>
      <c r="P97" s="12"/>
      <c r="Q97" s="8"/>
      <c r="R97" s="12"/>
      <c r="T97" s="12"/>
      <c r="AH97" s="8"/>
      <c r="AI97" s="8"/>
      <c r="AJ97" s="8"/>
    </row>
    <row r="98" ht="14.25" customHeight="1">
      <c r="A98" s="44"/>
      <c r="B98" s="12"/>
      <c r="C98" s="12"/>
      <c r="F98" s="12"/>
      <c r="G98" s="10"/>
      <c r="H98" s="8"/>
      <c r="I98" s="12"/>
      <c r="J98" s="8"/>
      <c r="K98" s="8"/>
      <c r="L98" s="8"/>
      <c r="M98" s="8"/>
      <c r="N98" s="8"/>
      <c r="O98" s="8"/>
      <c r="P98" s="12"/>
      <c r="Q98" s="8"/>
      <c r="R98" s="12"/>
      <c r="T98" s="12"/>
      <c r="AH98" s="8"/>
      <c r="AI98" s="8"/>
      <c r="AJ98" s="8"/>
    </row>
    <row r="99" ht="14.25" customHeight="1">
      <c r="A99" s="44"/>
      <c r="B99" s="12"/>
      <c r="C99" s="12"/>
      <c r="F99" s="12"/>
      <c r="G99" s="10"/>
      <c r="H99" s="8"/>
      <c r="I99" s="12"/>
      <c r="J99" s="8"/>
      <c r="K99" s="8"/>
      <c r="L99" s="8"/>
      <c r="M99" s="8"/>
      <c r="N99" s="8"/>
      <c r="O99" s="8"/>
      <c r="P99" s="12"/>
      <c r="Q99" s="8"/>
      <c r="R99" s="12"/>
      <c r="T99" s="12"/>
      <c r="AH99" s="8"/>
      <c r="AI99" s="8"/>
      <c r="AJ99" s="8"/>
    </row>
    <row r="100" ht="14.25" customHeight="1">
      <c r="A100" s="44"/>
      <c r="B100" s="12"/>
      <c r="C100" s="12"/>
      <c r="F100" s="12"/>
      <c r="G100" s="10"/>
      <c r="H100" s="8"/>
      <c r="I100" s="12"/>
      <c r="J100" s="8"/>
      <c r="K100" s="8"/>
      <c r="L100" s="8"/>
      <c r="M100" s="8"/>
      <c r="N100" s="8"/>
      <c r="O100" s="8"/>
      <c r="P100" s="12"/>
      <c r="Q100" s="8"/>
      <c r="R100" s="12"/>
      <c r="T100" s="12"/>
      <c r="AH100" s="8"/>
      <c r="AI100" s="8"/>
      <c r="AJ100" s="8"/>
    </row>
    <row r="101" ht="14.25" customHeight="1">
      <c r="A101" s="44"/>
      <c r="B101" s="12"/>
      <c r="C101" s="12"/>
      <c r="F101" s="12"/>
      <c r="G101" s="10"/>
      <c r="H101" s="8"/>
      <c r="I101" s="12"/>
      <c r="J101" s="8"/>
      <c r="K101" s="8"/>
      <c r="L101" s="8"/>
      <c r="M101" s="8"/>
      <c r="N101" s="8"/>
      <c r="O101" s="8"/>
      <c r="P101" s="12"/>
      <c r="Q101" s="8"/>
      <c r="R101" s="12"/>
      <c r="T101" s="12"/>
      <c r="AH101" s="8"/>
      <c r="AI101" s="8"/>
      <c r="AJ101" s="8"/>
    </row>
    <row r="102" ht="14.25" customHeight="1">
      <c r="A102" s="44"/>
      <c r="B102" s="12"/>
      <c r="C102" s="12"/>
      <c r="F102" s="12"/>
      <c r="G102" s="10"/>
      <c r="H102" s="8"/>
      <c r="I102" s="12"/>
      <c r="J102" s="8"/>
      <c r="K102" s="8"/>
      <c r="L102" s="8"/>
      <c r="M102" s="8"/>
      <c r="N102" s="8"/>
      <c r="O102" s="8"/>
      <c r="P102" s="12"/>
      <c r="Q102" s="8"/>
      <c r="R102" s="12"/>
      <c r="T102" s="12"/>
      <c r="AH102" s="8"/>
      <c r="AI102" s="8"/>
      <c r="AJ102" s="8"/>
    </row>
    <row r="103" ht="14.25" customHeight="1">
      <c r="A103" s="44"/>
      <c r="B103" s="12"/>
      <c r="C103" s="12"/>
      <c r="F103" s="12"/>
      <c r="G103" s="10"/>
      <c r="H103" s="8"/>
      <c r="I103" s="12"/>
      <c r="J103" s="8"/>
      <c r="K103" s="8"/>
      <c r="L103" s="8"/>
      <c r="M103" s="8"/>
      <c r="N103" s="8"/>
      <c r="O103" s="8"/>
      <c r="P103" s="12"/>
      <c r="Q103" s="8"/>
      <c r="R103" s="12"/>
      <c r="T103" s="12"/>
      <c r="AH103" s="8"/>
      <c r="AI103" s="8"/>
      <c r="AJ103" s="8"/>
    </row>
    <row r="104" ht="14.25" customHeight="1">
      <c r="A104" s="44"/>
      <c r="B104" s="12"/>
      <c r="C104" s="12"/>
      <c r="F104" s="12"/>
      <c r="G104" s="10"/>
      <c r="H104" s="8"/>
      <c r="I104" s="12"/>
      <c r="J104" s="8"/>
      <c r="K104" s="8"/>
      <c r="L104" s="8"/>
      <c r="M104" s="8"/>
      <c r="N104" s="8"/>
      <c r="O104" s="8"/>
      <c r="P104" s="12"/>
      <c r="Q104" s="8"/>
      <c r="R104" s="12"/>
      <c r="T104" s="12"/>
      <c r="AH104" s="8"/>
      <c r="AI104" s="8"/>
      <c r="AJ104" s="8"/>
    </row>
    <row r="105" ht="14.25" customHeight="1">
      <c r="A105" s="44"/>
      <c r="B105" s="12"/>
      <c r="C105" s="12"/>
      <c r="F105" s="12"/>
      <c r="G105" s="10"/>
      <c r="H105" s="8"/>
      <c r="I105" s="12"/>
      <c r="J105" s="8"/>
      <c r="K105" s="8"/>
      <c r="L105" s="8"/>
      <c r="M105" s="8"/>
      <c r="N105" s="8"/>
      <c r="O105" s="8"/>
      <c r="P105" s="12"/>
      <c r="Q105" s="8"/>
      <c r="R105" s="12"/>
      <c r="T105" s="12"/>
      <c r="AH105" s="8"/>
      <c r="AI105" s="8"/>
      <c r="AJ105" s="8"/>
    </row>
    <row r="106" ht="14.25" customHeight="1">
      <c r="A106" s="44"/>
      <c r="B106" s="12"/>
      <c r="C106" s="12"/>
      <c r="D106" s="12"/>
      <c r="E106" s="12"/>
      <c r="F106" s="12"/>
      <c r="G106" s="10"/>
      <c r="H106" s="8"/>
      <c r="I106" s="12"/>
      <c r="J106" s="8"/>
      <c r="K106" s="8"/>
      <c r="L106" s="8"/>
      <c r="M106" s="8"/>
      <c r="N106" s="8"/>
      <c r="O106" s="8"/>
      <c r="P106" s="12"/>
      <c r="Q106" s="8"/>
      <c r="R106" s="12"/>
      <c r="T106" s="12"/>
      <c r="AH106" s="8"/>
      <c r="AI106" s="8"/>
      <c r="AJ106" s="8"/>
    </row>
    <row r="107" ht="14.25" customHeight="1">
      <c r="A107" s="44"/>
      <c r="B107" s="12"/>
      <c r="C107" s="12"/>
      <c r="D107" s="12"/>
      <c r="E107" s="12"/>
      <c r="F107" s="12"/>
      <c r="G107" s="10"/>
      <c r="H107" s="8"/>
      <c r="I107" s="12"/>
      <c r="J107" s="8"/>
      <c r="K107" s="8"/>
      <c r="L107" s="8"/>
      <c r="M107" s="8"/>
      <c r="N107" s="8"/>
      <c r="O107" s="8"/>
      <c r="P107" s="12"/>
      <c r="Q107" s="8"/>
      <c r="R107" s="12"/>
      <c r="T107" s="12"/>
      <c r="AH107" s="8"/>
      <c r="AI107" s="8"/>
      <c r="AJ107" s="8"/>
    </row>
    <row r="108" ht="14.25" customHeight="1">
      <c r="A108" s="44"/>
      <c r="B108" s="12"/>
      <c r="C108" s="12"/>
      <c r="D108" s="12"/>
      <c r="E108" s="12"/>
      <c r="F108" s="12"/>
      <c r="G108" s="10"/>
      <c r="H108" s="8"/>
      <c r="I108" s="12"/>
      <c r="J108" s="8"/>
      <c r="K108" s="8"/>
      <c r="L108" s="8"/>
      <c r="M108" s="8"/>
      <c r="N108" s="8"/>
      <c r="O108" s="8"/>
      <c r="P108" s="12"/>
      <c r="Q108" s="8"/>
      <c r="R108" s="12"/>
      <c r="T108" s="12"/>
      <c r="AH108" s="8"/>
      <c r="AI108" s="8"/>
      <c r="AJ108" s="8"/>
    </row>
    <row r="109" ht="14.25" customHeight="1">
      <c r="A109" s="44"/>
      <c r="B109" s="12"/>
      <c r="C109" s="12"/>
      <c r="D109" s="12"/>
      <c r="E109" s="12"/>
      <c r="F109" s="12"/>
      <c r="G109" s="10"/>
      <c r="H109" s="8"/>
      <c r="I109" s="12"/>
      <c r="J109" s="8"/>
      <c r="K109" s="8"/>
      <c r="L109" s="8"/>
      <c r="M109" s="8"/>
      <c r="N109" s="8"/>
      <c r="O109" s="8"/>
      <c r="P109" s="12"/>
      <c r="Q109" s="8"/>
      <c r="R109" s="12"/>
      <c r="T109" s="12"/>
      <c r="AH109" s="8"/>
      <c r="AI109" s="8"/>
      <c r="AJ109" s="8"/>
    </row>
    <row r="110" ht="14.25" customHeight="1">
      <c r="A110" s="44"/>
      <c r="B110" s="12"/>
      <c r="C110" s="12"/>
      <c r="D110" s="12"/>
      <c r="E110" s="12"/>
      <c r="F110" s="12"/>
      <c r="G110" s="10"/>
      <c r="H110" s="8"/>
      <c r="I110" s="12"/>
      <c r="J110" s="8"/>
      <c r="K110" s="8"/>
      <c r="L110" s="8"/>
      <c r="M110" s="8"/>
      <c r="N110" s="8"/>
      <c r="O110" s="8"/>
      <c r="P110" s="12"/>
      <c r="Q110" s="8"/>
      <c r="R110" s="12"/>
      <c r="T110" s="12"/>
      <c r="AH110" s="8"/>
      <c r="AI110" s="8"/>
      <c r="AJ110" s="8"/>
    </row>
    <row r="111" ht="14.25" customHeight="1">
      <c r="A111" s="44"/>
      <c r="B111" s="12"/>
      <c r="C111" s="12"/>
      <c r="D111" s="12"/>
      <c r="E111" s="12"/>
      <c r="F111" s="12"/>
      <c r="G111" s="10"/>
      <c r="H111" s="8"/>
      <c r="I111" s="12"/>
      <c r="J111" s="8"/>
      <c r="K111" s="8"/>
      <c r="L111" s="8"/>
      <c r="M111" s="8"/>
      <c r="N111" s="8"/>
      <c r="O111" s="8"/>
      <c r="P111" s="12"/>
      <c r="Q111" s="8"/>
      <c r="R111" s="12"/>
      <c r="T111" s="12"/>
      <c r="AH111" s="8"/>
      <c r="AI111" s="8"/>
      <c r="AJ111" s="8"/>
    </row>
    <row r="112" ht="14.25" customHeight="1">
      <c r="A112" s="44"/>
      <c r="B112" s="12"/>
      <c r="C112" s="12"/>
      <c r="D112" s="12"/>
      <c r="E112" s="12"/>
      <c r="F112" s="12"/>
      <c r="G112" s="10"/>
      <c r="H112" s="8"/>
      <c r="I112" s="12"/>
      <c r="J112" s="8"/>
      <c r="K112" s="8"/>
      <c r="L112" s="8"/>
      <c r="M112" s="8"/>
      <c r="N112" s="8"/>
      <c r="O112" s="8"/>
      <c r="P112" s="12"/>
      <c r="Q112" s="8"/>
      <c r="R112" s="12"/>
      <c r="T112" s="12"/>
      <c r="AH112" s="8"/>
      <c r="AI112" s="8"/>
      <c r="AJ112" s="8"/>
    </row>
    <row r="113" ht="14.25" customHeight="1">
      <c r="A113" s="44"/>
      <c r="B113" s="12"/>
      <c r="C113" s="12"/>
      <c r="D113" s="12"/>
      <c r="E113" s="12"/>
      <c r="F113" s="12"/>
      <c r="G113" s="10"/>
      <c r="H113" s="8"/>
      <c r="I113" s="12"/>
      <c r="J113" s="8"/>
      <c r="K113" s="8"/>
      <c r="L113" s="8"/>
      <c r="M113" s="8"/>
      <c r="N113" s="8"/>
      <c r="O113" s="8"/>
      <c r="P113" s="12"/>
      <c r="Q113" s="8"/>
      <c r="R113" s="12"/>
      <c r="T113" s="12"/>
      <c r="AH113" s="8"/>
      <c r="AI113" s="8"/>
      <c r="AJ113" s="8"/>
    </row>
    <row r="114" ht="14.25" customHeight="1">
      <c r="A114" s="44"/>
      <c r="B114" s="12"/>
      <c r="C114" s="12"/>
      <c r="D114" s="12"/>
      <c r="E114" s="12"/>
      <c r="F114" s="12"/>
      <c r="G114" s="10"/>
      <c r="H114" s="8"/>
      <c r="I114" s="12"/>
      <c r="J114" s="8"/>
      <c r="K114" s="8"/>
      <c r="L114" s="8"/>
      <c r="M114" s="8"/>
      <c r="N114" s="8"/>
      <c r="O114" s="8"/>
      <c r="P114" s="12"/>
      <c r="Q114" s="8"/>
      <c r="R114" s="12"/>
      <c r="T114" s="12"/>
      <c r="AH114" s="8"/>
      <c r="AI114" s="8"/>
      <c r="AJ114" s="8"/>
    </row>
    <row r="115" ht="14.25" customHeight="1">
      <c r="A115" s="44"/>
      <c r="B115" s="12"/>
      <c r="C115" s="12"/>
      <c r="D115" s="12"/>
      <c r="E115" s="12"/>
      <c r="F115" s="12"/>
      <c r="G115" s="10"/>
      <c r="H115" s="8"/>
      <c r="I115" s="12"/>
      <c r="J115" s="8"/>
      <c r="K115" s="8"/>
      <c r="L115" s="8"/>
      <c r="M115" s="8"/>
      <c r="N115" s="8"/>
      <c r="O115" s="8"/>
      <c r="P115" s="12"/>
      <c r="Q115" s="8"/>
      <c r="R115" s="12"/>
      <c r="T115" s="12"/>
      <c r="AH115" s="8"/>
      <c r="AI115" s="8"/>
      <c r="AJ115" s="8"/>
    </row>
    <row r="116" ht="14.25" customHeight="1">
      <c r="A116" s="44"/>
      <c r="B116" s="12"/>
      <c r="C116" s="12"/>
      <c r="D116" s="12"/>
      <c r="E116" s="12"/>
      <c r="F116" s="12"/>
      <c r="G116" s="10"/>
      <c r="H116" s="8"/>
      <c r="I116" s="12"/>
      <c r="J116" s="8"/>
      <c r="K116" s="8"/>
      <c r="L116" s="8"/>
      <c r="M116" s="8"/>
      <c r="N116" s="8"/>
      <c r="O116" s="8"/>
      <c r="P116" s="12"/>
      <c r="Q116" s="8"/>
      <c r="R116" s="12"/>
      <c r="T116" s="12"/>
      <c r="AH116" s="8"/>
      <c r="AI116" s="8"/>
      <c r="AJ116" s="8"/>
    </row>
    <row r="117" ht="14.25" customHeight="1">
      <c r="A117" s="44"/>
      <c r="B117" s="12"/>
      <c r="C117" s="12"/>
      <c r="D117" s="12"/>
      <c r="E117" s="12"/>
      <c r="F117" s="12"/>
      <c r="G117" s="10"/>
      <c r="H117" s="8"/>
      <c r="I117" s="12"/>
      <c r="J117" s="8"/>
      <c r="K117" s="8"/>
      <c r="L117" s="8"/>
      <c r="M117" s="8"/>
      <c r="N117" s="8"/>
      <c r="O117" s="8"/>
      <c r="P117" s="12"/>
      <c r="Q117" s="8"/>
      <c r="R117" s="12"/>
      <c r="T117" s="12"/>
      <c r="AH117" s="8"/>
      <c r="AI117" s="8"/>
      <c r="AJ117" s="8"/>
    </row>
    <row r="118" ht="14.25" customHeight="1">
      <c r="A118" s="44"/>
      <c r="B118" s="12"/>
      <c r="C118" s="12"/>
      <c r="D118" s="12"/>
      <c r="E118" s="12"/>
      <c r="F118" s="12"/>
      <c r="G118" s="10"/>
      <c r="H118" s="8"/>
      <c r="I118" s="12"/>
      <c r="J118" s="8"/>
      <c r="K118" s="8"/>
      <c r="L118" s="8"/>
      <c r="M118" s="8"/>
      <c r="N118" s="8"/>
      <c r="O118" s="8"/>
      <c r="P118" s="12"/>
      <c r="Q118" s="8"/>
      <c r="R118" s="12"/>
      <c r="T118" s="12"/>
      <c r="AH118" s="8"/>
      <c r="AI118" s="8"/>
      <c r="AJ118" s="8"/>
    </row>
    <row r="119" ht="14.25" customHeight="1">
      <c r="A119" s="44"/>
      <c r="B119" s="12"/>
      <c r="C119" s="12"/>
      <c r="D119" s="12"/>
      <c r="E119" s="12"/>
      <c r="F119" s="12"/>
      <c r="G119" s="10"/>
      <c r="H119" s="8"/>
      <c r="I119" s="12"/>
      <c r="J119" s="8"/>
      <c r="K119" s="8"/>
      <c r="L119" s="8"/>
      <c r="M119" s="8"/>
      <c r="N119" s="8"/>
      <c r="O119" s="8"/>
      <c r="P119" s="12"/>
      <c r="Q119" s="8"/>
      <c r="R119" s="12"/>
      <c r="T119" s="12"/>
      <c r="AH119" s="8"/>
      <c r="AI119" s="8"/>
      <c r="AJ119" s="8"/>
    </row>
    <row r="120" ht="14.25" customHeight="1">
      <c r="A120" s="44"/>
      <c r="B120" s="12"/>
      <c r="C120" s="12"/>
      <c r="D120" s="12"/>
      <c r="E120" s="12"/>
      <c r="F120" s="12"/>
      <c r="G120" s="10"/>
      <c r="H120" s="8"/>
      <c r="I120" s="12"/>
      <c r="J120" s="8"/>
      <c r="K120" s="8"/>
      <c r="L120" s="8"/>
      <c r="M120" s="8"/>
      <c r="N120" s="8"/>
      <c r="O120" s="8"/>
      <c r="P120" s="12"/>
      <c r="Q120" s="8"/>
      <c r="R120" s="12"/>
      <c r="T120" s="12"/>
      <c r="AH120" s="8"/>
      <c r="AI120" s="8"/>
      <c r="AJ120" s="8"/>
    </row>
    <row r="121" ht="14.25" customHeight="1">
      <c r="A121" s="44"/>
      <c r="B121" s="12"/>
      <c r="C121" s="12"/>
      <c r="D121" s="12"/>
      <c r="E121" s="12"/>
      <c r="F121" s="12"/>
      <c r="G121" s="10"/>
      <c r="H121" s="8"/>
      <c r="I121" s="12"/>
      <c r="J121" s="8"/>
      <c r="K121" s="8"/>
      <c r="L121" s="8"/>
      <c r="M121" s="8"/>
      <c r="N121" s="8"/>
      <c r="O121" s="8"/>
      <c r="P121" s="12"/>
      <c r="Q121" s="8"/>
      <c r="R121" s="12"/>
      <c r="T121" s="12"/>
      <c r="AH121" s="8"/>
      <c r="AI121" s="8"/>
      <c r="AJ121" s="8"/>
    </row>
    <row r="122" ht="14.25" customHeight="1">
      <c r="A122" s="44"/>
      <c r="B122" s="12"/>
      <c r="C122" s="12"/>
      <c r="D122" s="12"/>
      <c r="E122" s="12"/>
      <c r="F122" s="12"/>
      <c r="G122" s="10"/>
      <c r="H122" s="8"/>
      <c r="I122" s="12"/>
      <c r="J122" s="8"/>
      <c r="K122" s="8"/>
      <c r="L122" s="8"/>
      <c r="M122" s="8"/>
      <c r="N122" s="8"/>
      <c r="O122" s="8"/>
      <c r="P122" s="12"/>
      <c r="Q122" s="8"/>
      <c r="R122" s="12"/>
      <c r="T122" s="12"/>
      <c r="AH122" s="8"/>
      <c r="AI122" s="8"/>
      <c r="AJ122" s="8"/>
    </row>
    <row r="123" ht="14.25" customHeight="1">
      <c r="A123" s="44"/>
      <c r="B123" s="12"/>
      <c r="C123" s="12"/>
      <c r="D123" s="12"/>
      <c r="E123" s="12"/>
      <c r="F123" s="12"/>
      <c r="G123" s="10"/>
      <c r="H123" s="8"/>
      <c r="I123" s="12"/>
      <c r="J123" s="8"/>
      <c r="K123" s="8"/>
      <c r="L123" s="8"/>
      <c r="M123" s="8"/>
      <c r="N123" s="8"/>
      <c r="O123" s="8"/>
      <c r="P123" s="12"/>
      <c r="Q123" s="8"/>
      <c r="R123" s="12"/>
      <c r="T123" s="12"/>
      <c r="AH123" s="8"/>
      <c r="AI123" s="8"/>
      <c r="AJ123" s="8"/>
    </row>
    <row r="124" ht="14.25" customHeight="1">
      <c r="A124" s="44"/>
      <c r="B124" s="12"/>
      <c r="C124" s="12"/>
      <c r="D124" s="12"/>
      <c r="E124" s="12"/>
      <c r="F124" s="12"/>
      <c r="G124" s="10"/>
      <c r="H124" s="8"/>
      <c r="I124" s="12"/>
      <c r="J124" s="8"/>
      <c r="K124" s="8"/>
      <c r="L124" s="8"/>
      <c r="M124" s="8"/>
      <c r="N124" s="8"/>
      <c r="O124" s="8"/>
      <c r="P124" s="12"/>
      <c r="Q124" s="8"/>
      <c r="R124" s="12"/>
      <c r="T124" s="12"/>
      <c r="AH124" s="8"/>
      <c r="AI124" s="8"/>
      <c r="AJ124" s="8"/>
    </row>
    <row r="125" ht="14.25" customHeight="1">
      <c r="A125" s="44"/>
      <c r="B125" s="12"/>
      <c r="C125" s="12"/>
      <c r="D125" s="12"/>
      <c r="E125" s="12"/>
      <c r="F125" s="12"/>
      <c r="G125" s="10"/>
      <c r="H125" s="8"/>
      <c r="I125" s="12"/>
      <c r="J125" s="8"/>
      <c r="K125" s="8"/>
      <c r="L125" s="8"/>
      <c r="M125" s="8"/>
      <c r="N125" s="8"/>
      <c r="O125" s="8"/>
      <c r="P125" s="12"/>
      <c r="Q125" s="8"/>
      <c r="R125" s="12"/>
      <c r="T125" s="12"/>
      <c r="AH125" s="8"/>
      <c r="AI125" s="8"/>
      <c r="AJ125" s="8"/>
    </row>
    <row r="126" ht="14.25" customHeight="1">
      <c r="A126" s="44"/>
      <c r="B126" s="12"/>
      <c r="C126" s="12"/>
      <c r="D126" s="12"/>
      <c r="E126" s="12"/>
      <c r="F126" s="12"/>
      <c r="G126" s="10"/>
      <c r="H126" s="8"/>
      <c r="I126" s="12"/>
      <c r="J126" s="8"/>
      <c r="K126" s="8"/>
      <c r="L126" s="8"/>
      <c r="M126" s="8"/>
      <c r="N126" s="8"/>
      <c r="O126" s="8"/>
      <c r="P126" s="12"/>
      <c r="Q126" s="8"/>
      <c r="R126" s="12"/>
      <c r="T126" s="12"/>
      <c r="AH126" s="8"/>
      <c r="AI126" s="8"/>
      <c r="AJ126" s="8"/>
    </row>
    <row r="127" ht="14.25" customHeight="1">
      <c r="A127" s="44"/>
      <c r="B127" s="12"/>
      <c r="C127" s="12"/>
      <c r="D127" s="12"/>
      <c r="E127" s="12"/>
      <c r="F127" s="12"/>
      <c r="G127" s="10"/>
      <c r="H127" s="8"/>
      <c r="I127" s="12"/>
      <c r="J127" s="8"/>
      <c r="K127" s="8"/>
      <c r="L127" s="8"/>
      <c r="M127" s="8"/>
      <c r="N127" s="8"/>
      <c r="O127" s="8"/>
      <c r="P127" s="12"/>
      <c r="Q127" s="8"/>
      <c r="R127" s="12"/>
      <c r="T127" s="12"/>
      <c r="AH127" s="8"/>
      <c r="AI127" s="8"/>
      <c r="AJ127" s="8"/>
    </row>
    <row r="128" ht="14.25" customHeight="1">
      <c r="A128" s="44"/>
      <c r="B128" s="12"/>
      <c r="C128" s="12"/>
      <c r="D128" s="12"/>
      <c r="E128" s="12"/>
      <c r="F128" s="12"/>
      <c r="G128" s="10"/>
      <c r="H128" s="8"/>
      <c r="I128" s="12"/>
      <c r="J128" s="8"/>
      <c r="K128" s="8"/>
      <c r="L128" s="8"/>
      <c r="M128" s="8"/>
      <c r="N128" s="8"/>
      <c r="O128" s="8"/>
      <c r="P128" s="12"/>
      <c r="Q128" s="8"/>
      <c r="R128" s="12"/>
      <c r="T128" s="12"/>
      <c r="AH128" s="8"/>
      <c r="AI128" s="8"/>
      <c r="AJ128" s="8"/>
    </row>
    <row r="129" ht="14.25" customHeight="1">
      <c r="A129" s="44"/>
      <c r="B129" s="12"/>
      <c r="C129" s="12"/>
      <c r="D129" s="12"/>
      <c r="E129" s="12"/>
      <c r="F129" s="12"/>
      <c r="G129" s="10"/>
      <c r="H129" s="8"/>
      <c r="I129" s="12"/>
      <c r="J129" s="8"/>
      <c r="K129" s="8"/>
      <c r="L129" s="8"/>
      <c r="M129" s="8"/>
      <c r="N129" s="8"/>
      <c r="O129" s="8"/>
      <c r="P129" s="12"/>
      <c r="Q129" s="8"/>
      <c r="R129" s="12"/>
      <c r="T129" s="12"/>
      <c r="AH129" s="8"/>
      <c r="AI129" s="8"/>
      <c r="AJ129" s="8"/>
    </row>
    <row r="130" ht="14.25" customHeight="1">
      <c r="A130" s="44"/>
      <c r="B130" s="12"/>
      <c r="C130" s="12"/>
      <c r="D130" s="12"/>
      <c r="E130" s="12"/>
      <c r="F130" s="12"/>
      <c r="G130" s="10"/>
      <c r="H130" s="8"/>
      <c r="I130" s="12"/>
      <c r="J130" s="8"/>
      <c r="K130" s="8"/>
      <c r="L130" s="8"/>
      <c r="M130" s="8"/>
      <c r="N130" s="8"/>
      <c r="O130" s="8"/>
      <c r="P130" s="12"/>
      <c r="Q130" s="8"/>
      <c r="R130" s="12"/>
      <c r="T130" s="12"/>
      <c r="AH130" s="8"/>
      <c r="AI130" s="8"/>
      <c r="AJ130" s="8"/>
    </row>
    <row r="131" ht="14.25" customHeight="1">
      <c r="A131" s="44"/>
      <c r="B131" s="12"/>
      <c r="C131" s="12"/>
      <c r="D131" s="12"/>
      <c r="E131" s="12"/>
      <c r="F131" s="12"/>
      <c r="G131" s="10"/>
      <c r="H131" s="8"/>
      <c r="I131" s="12"/>
      <c r="J131" s="8"/>
      <c r="K131" s="8"/>
      <c r="L131" s="8"/>
      <c r="M131" s="8"/>
      <c r="N131" s="8"/>
      <c r="O131" s="8"/>
      <c r="P131" s="12"/>
      <c r="Q131" s="8"/>
      <c r="R131" s="12"/>
      <c r="T131" s="12"/>
      <c r="AH131" s="8"/>
      <c r="AI131" s="8"/>
      <c r="AJ131" s="8"/>
    </row>
    <row r="132" ht="14.25" customHeight="1">
      <c r="A132" s="44"/>
      <c r="B132" s="12"/>
      <c r="C132" s="12"/>
      <c r="D132" s="12"/>
      <c r="E132" s="12"/>
      <c r="F132" s="12"/>
      <c r="G132" s="10"/>
      <c r="H132" s="8"/>
      <c r="I132" s="12"/>
      <c r="J132" s="8"/>
      <c r="K132" s="8"/>
      <c r="L132" s="8"/>
      <c r="M132" s="8"/>
      <c r="N132" s="8"/>
      <c r="O132" s="8"/>
      <c r="P132" s="12"/>
      <c r="Q132" s="8"/>
      <c r="R132" s="12"/>
      <c r="T132" s="12"/>
      <c r="AH132" s="8"/>
      <c r="AI132" s="8"/>
      <c r="AJ132" s="8"/>
    </row>
    <row r="133" ht="14.25" customHeight="1">
      <c r="A133" s="44"/>
      <c r="B133" s="12"/>
      <c r="C133" s="12"/>
      <c r="D133" s="12"/>
      <c r="E133" s="12"/>
      <c r="F133" s="12"/>
      <c r="G133" s="10"/>
      <c r="H133" s="8"/>
      <c r="I133" s="12"/>
      <c r="J133" s="8"/>
      <c r="K133" s="8"/>
      <c r="L133" s="8"/>
      <c r="M133" s="8"/>
      <c r="N133" s="8"/>
      <c r="O133" s="8"/>
      <c r="P133" s="12"/>
      <c r="Q133" s="8"/>
      <c r="R133" s="12"/>
      <c r="T133" s="12"/>
      <c r="AH133" s="8"/>
      <c r="AI133" s="8"/>
      <c r="AJ133" s="8"/>
    </row>
    <row r="134" ht="14.25" customHeight="1">
      <c r="A134" s="44"/>
      <c r="B134" s="12"/>
      <c r="C134" s="12"/>
      <c r="D134" s="12"/>
      <c r="E134" s="12"/>
      <c r="F134" s="12"/>
      <c r="G134" s="10"/>
      <c r="H134" s="8"/>
      <c r="I134" s="12"/>
      <c r="J134" s="8"/>
      <c r="K134" s="8"/>
      <c r="L134" s="8"/>
      <c r="M134" s="8"/>
      <c r="N134" s="8"/>
      <c r="O134" s="8"/>
      <c r="P134" s="12"/>
      <c r="Q134" s="8"/>
      <c r="R134" s="12"/>
      <c r="T134" s="12"/>
      <c r="AH134" s="8"/>
      <c r="AI134" s="8"/>
      <c r="AJ134" s="8"/>
    </row>
    <row r="135" ht="14.25" customHeight="1">
      <c r="A135" s="44"/>
      <c r="B135" s="12"/>
      <c r="C135" s="12"/>
      <c r="D135" s="12"/>
      <c r="E135" s="12"/>
      <c r="F135" s="12"/>
      <c r="G135" s="10"/>
      <c r="H135" s="8"/>
      <c r="I135" s="12"/>
      <c r="J135" s="8"/>
      <c r="K135" s="8"/>
      <c r="L135" s="8"/>
      <c r="M135" s="8"/>
      <c r="N135" s="8"/>
      <c r="O135" s="8"/>
      <c r="P135" s="12"/>
      <c r="Q135" s="8"/>
      <c r="R135" s="12"/>
      <c r="T135" s="12"/>
      <c r="AH135" s="8"/>
      <c r="AI135" s="8"/>
      <c r="AJ135" s="8"/>
    </row>
    <row r="136" ht="14.25" customHeight="1">
      <c r="A136" s="44"/>
      <c r="B136" s="12"/>
      <c r="C136" s="12"/>
      <c r="D136" s="12"/>
      <c r="E136" s="12"/>
      <c r="F136" s="12"/>
      <c r="G136" s="10"/>
      <c r="H136" s="8"/>
      <c r="I136" s="12"/>
      <c r="J136" s="8"/>
      <c r="K136" s="8"/>
      <c r="L136" s="8"/>
      <c r="M136" s="8"/>
      <c r="N136" s="8"/>
      <c r="O136" s="8"/>
      <c r="P136" s="12"/>
      <c r="Q136" s="8"/>
      <c r="R136" s="12"/>
      <c r="T136" s="12"/>
      <c r="AH136" s="8"/>
      <c r="AI136" s="8"/>
      <c r="AJ136" s="8"/>
    </row>
    <row r="137" ht="14.25" customHeight="1">
      <c r="A137" s="44"/>
      <c r="B137" s="12"/>
      <c r="C137" s="12"/>
      <c r="D137" s="12"/>
      <c r="E137" s="12"/>
      <c r="F137" s="12"/>
      <c r="G137" s="10"/>
      <c r="H137" s="8"/>
      <c r="I137" s="12"/>
      <c r="J137" s="8"/>
      <c r="K137" s="8"/>
      <c r="L137" s="8"/>
      <c r="M137" s="8"/>
      <c r="N137" s="8"/>
      <c r="O137" s="8"/>
      <c r="P137" s="12"/>
      <c r="Q137" s="8"/>
      <c r="R137" s="12"/>
      <c r="T137" s="12"/>
      <c r="AH137" s="8"/>
      <c r="AI137" s="8"/>
      <c r="AJ137" s="8"/>
    </row>
    <row r="138" ht="14.25" customHeight="1">
      <c r="A138" s="44"/>
      <c r="B138" s="12"/>
      <c r="C138" s="12"/>
      <c r="D138" s="12"/>
      <c r="E138" s="12"/>
      <c r="F138" s="12"/>
      <c r="G138" s="10"/>
      <c r="H138" s="8"/>
      <c r="I138" s="12"/>
      <c r="J138" s="8"/>
      <c r="K138" s="8"/>
      <c r="L138" s="8"/>
      <c r="M138" s="8"/>
      <c r="N138" s="8"/>
      <c r="O138" s="8"/>
      <c r="P138" s="12"/>
      <c r="Q138" s="8"/>
      <c r="R138" s="12"/>
      <c r="T138" s="12"/>
      <c r="AH138" s="8"/>
      <c r="AI138" s="8"/>
      <c r="AJ138" s="8"/>
    </row>
    <row r="139" ht="14.25" customHeight="1">
      <c r="A139" s="44"/>
      <c r="B139" s="12"/>
      <c r="C139" s="12"/>
      <c r="D139" s="12"/>
      <c r="E139" s="12"/>
      <c r="F139" s="12"/>
      <c r="G139" s="10"/>
      <c r="H139" s="8"/>
      <c r="I139" s="12"/>
      <c r="J139" s="8"/>
      <c r="K139" s="8"/>
      <c r="L139" s="8"/>
      <c r="M139" s="8"/>
      <c r="N139" s="8"/>
      <c r="O139" s="8"/>
      <c r="P139" s="12"/>
      <c r="Q139" s="8"/>
      <c r="R139" s="12"/>
      <c r="T139" s="12"/>
      <c r="AH139" s="8"/>
      <c r="AI139" s="8"/>
      <c r="AJ139" s="8"/>
    </row>
    <row r="140" ht="14.25" customHeight="1">
      <c r="A140" s="44"/>
      <c r="B140" s="12"/>
      <c r="C140" s="12"/>
      <c r="D140" s="12"/>
      <c r="E140" s="12"/>
      <c r="F140" s="12"/>
      <c r="G140" s="10"/>
      <c r="H140" s="8"/>
      <c r="I140" s="12"/>
      <c r="J140" s="8"/>
      <c r="K140" s="8"/>
      <c r="L140" s="8"/>
      <c r="M140" s="8"/>
      <c r="N140" s="8"/>
      <c r="O140" s="8"/>
      <c r="P140" s="12"/>
      <c r="Q140" s="8"/>
      <c r="R140" s="12"/>
      <c r="T140" s="12"/>
      <c r="AH140" s="8"/>
      <c r="AI140" s="8"/>
      <c r="AJ140" s="8"/>
    </row>
    <row r="141" ht="14.25" customHeight="1">
      <c r="A141" s="44"/>
      <c r="B141" s="12"/>
      <c r="C141" s="12"/>
      <c r="D141" s="12"/>
      <c r="E141" s="12"/>
      <c r="F141" s="12"/>
      <c r="G141" s="10"/>
      <c r="H141" s="8"/>
      <c r="I141" s="12"/>
      <c r="J141" s="8"/>
      <c r="K141" s="8"/>
      <c r="L141" s="8"/>
      <c r="M141" s="8"/>
      <c r="N141" s="8"/>
      <c r="O141" s="8"/>
      <c r="P141" s="12"/>
      <c r="Q141" s="8"/>
      <c r="R141" s="12"/>
      <c r="T141" s="12"/>
      <c r="AH141" s="8"/>
      <c r="AI141" s="8"/>
      <c r="AJ141" s="8"/>
    </row>
    <row r="142" ht="14.25" customHeight="1">
      <c r="A142" s="44"/>
      <c r="B142" s="12"/>
      <c r="C142" s="12"/>
      <c r="D142" s="12"/>
      <c r="E142" s="12"/>
      <c r="F142" s="12"/>
      <c r="G142" s="10"/>
      <c r="H142" s="8"/>
      <c r="I142" s="12"/>
      <c r="J142" s="8"/>
      <c r="K142" s="8"/>
      <c r="L142" s="8"/>
      <c r="M142" s="8"/>
      <c r="N142" s="8"/>
      <c r="O142" s="8"/>
      <c r="P142" s="12"/>
      <c r="Q142" s="8"/>
      <c r="R142" s="12"/>
      <c r="T142" s="12"/>
      <c r="AH142" s="8"/>
      <c r="AI142" s="8"/>
      <c r="AJ142" s="8"/>
    </row>
    <row r="143" ht="14.25" customHeight="1">
      <c r="A143" s="44"/>
      <c r="B143" s="12"/>
      <c r="C143" s="12"/>
      <c r="D143" s="12"/>
      <c r="E143" s="12"/>
      <c r="F143" s="12"/>
      <c r="G143" s="10"/>
      <c r="H143" s="8"/>
      <c r="I143" s="12"/>
      <c r="J143" s="8"/>
      <c r="K143" s="8"/>
      <c r="L143" s="8"/>
      <c r="M143" s="8"/>
      <c r="N143" s="8"/>
      <c r="O143" s="8"/>
      <c r="P143" s="12"/>
      <c r="Q143" s="8"/>
      <c r="R143" s="12"/>
      <c r="T143" s="12"/>
      <c r="AH143" s="8"/>
      <c r="AI143" s="8"/>
      <c r="AJ143" s="8"/>
    </row>
    <row r="144" ht="14.25" customHeight="1">
      <c r="A144" s="44"/>
      <c r="B144" s="12"/>
      <c r="C144" s="12"/>
      <c r="D144" s="12"/>
      <c r="E144" s="12"/>
      <c r="F144" s="12"/>
      <c r="G144" s="10"/>
      <c r="H144" s="8"/>
      <c r="I144" s="12"/>
      <c r="J144" s="8"/>
      <c r="K144" s="8"/>
      <c r="L144" s="8"/>
      <c r="M144" s="8"/>
      <c r="N144" s="8"/>
      <c r="O144" s="8"/>
      <c r="P144" s="12"/>
      <c r="Q144" s="8"/>
      <c r="R144" s="12"/>
      <c r="T144" s="12"/>
      <c r="AH144" s="8"/>
      <c r="AI144" s="8"/>
      <c r="AJ144" s="8"/>
    </row>
    <row r="145" ht="14.25" customHeight="1">
      <c r="A145" s="44"/>
      <c r="B145" s="12"/>
      <c r="C145" s="12"/>
      <c r="D145" s="12"/>
      <c r="E145" s="12"/>
      <c r="F145" s="12"/>
      <c r="G145" s="10"/>
      <c r="H145" s="8"/>
      <c r="I145" s="12"/>
      <c r="J145" s="8"/>
      <c r="K145" s="8"/>
      <c r="L145" s="8"/>
      <c r="M145" s="8"/>
      <c r="N145" s="8"/>
      <c r="O145" s="8"/>
      <c r="P145" s="12"/>
      <c r="Q145" s="8"/>
      <c r="R145" s="12"/>
      <c r="T145" s="12"/>
      <c r="AH145" s="8"/>
      <c r="AI145" s="8"/>
      <c r="AJ145" s="8"/>
    </row>
    <row r="146" ht="14.25" customHeight="1">
      <c r="A146" s="44"/>
      <c r="B146" s="12"/>
      <c r="C146" s="12"/>
      <c r="D146" s="12"/>
      <c r="E146" s="12"/>
      <c r="F146" s="12"/>
      <c r="G146" s="10"/>
      <c r="H146" s="8"/>
      <c r="I146" s="12"/>
      <c r="J146" s="8"/>
      <c r="K146" s="8"/>
      <c r="L146" s="8"/>
      <c r="M146" s="8"/>
      <c r="N146" s="8"/>
      <c r="O146" s="8"/>
      <c r="P146" s="12"/>
      <c r="Q146" s="8"/>
      <c r="R146" s="12"/>
      <c r="T146" s="12"/>
      <c r="AH146" s="8"/>
      <c r="AI146" s="8"/>
      <c r="AJ146" s="8"/>
    </row>
    <row r="147" ht="14.25" customHeight="1">
      <c r="A147" s="44"/>
      <c r="B147" s="12"/>
      <c r="C147" s="12"/>
      <c r="D147" s="12"/>
      <c r="E147" s="12"/>
      <c r="F147" s="12"/>
      <c r="G147" s="10"/>
      <c r="H147" s="8"/>
      <c r="I147" s="12"/>
      <c r="J147" s="8"/>
      <c r="K147" s="8"/>
      <c r="L147" s="8"/>
      <c r="M147" s="8"/>
      <c r="N147" s="8"/>
      <c r="O147" s="8"/>
      <c r="P147" s="12"/>
      <c r="Q147" s="8"/>
      <c r="R147" s="12"/>
      <c r="T147" s="12"/>
      <c r="AH147" s="8"/>
      <c r="AI147" s="8"/>
      <c r="AJ147" s="8"/>
    </row>
    <row r="148" ht="14.25" customHeight="1">
      <c r="A148" s="44"/>
      <c r="B148" s="12"/>
      <c r="C148" s="12"/>
      <c r="D148" s="12"/>
      <c r="E148" s="12"/>
      <c r="F148" s="12"/>
      <c r="G148" s="10"/>
      <c r="H148" s="8"/>
      <c r="I148" s="12"/>
      <c r="J148" s="8"/>
      <c r="K148" s="8"/>
      <c r="L148" s="8"/>
      <c r="M148" s="8"/>
      <c r="N148" s="8"/>
      <c r="O148" s="8"/>
      <c r="P148" s="12"/>
      <c r="Q148" s="8"/>
      <c r="R148" s="12"/>
      <c r="T148" s="12"/>
      <c r="AH148" s="8"/>
      <c r="AI148" s="8"/>
      <c r="AJ148" s="8"/>
    </row>
    <row r="149" ht="14.25" customHeight="1">
      <c r="A149" s="44"/>
      <c r="B149" s="12"/>
      <c r="C149" s="12"/>
      <c r="D149" s="12"/>
      <c r="E149" s="12"/>
      <c r="F149" s="12"/>
      <c r="G149" s="10"/>
      <c r="H149" s="8"/>
      <c r="I149" s="12"/>
      <c r="J149" s="8"/>
      <c r="K149" s="8"/>
      <c r="L149" s="8"/>
      <c r="M149" s="8"/>
      <c r="N149" s="8"/>
      <c r="O149" s="8"/>
      <c r="P149" s="12"/>
      <c r="Q149" s="8"/>
      <c r="R149" s="12"/>
      <c r="T149" s="12"/>
      <c r="AH149" s="8"/>
      <c r="AI149" s="8"/>
      <c r="AJ149" s="8"/>
    </row>
    <row r="150" ht="14.25" customHeight="1">
      <c r="A150" s="44"/>
      <c r="B150" s="12"/>
      <c r="C150" s="12"/>
      <c r="D150" s="12"/>
      <c r="E150" s="12"/>
      <c r="F150" s="12"/>
      <c r="G150" s="10"/>
      <c r="H150" s="8"/>
      <c r="I150" s="12"/>
      <c r="J150" s="8"/>
      <c r="K150" s="8"/>
      <c r="L150" s="8"/>
      <c r="M150" s="8"/>
      <c r="N150" s="8"/>
      <c r="O150" s="8"/>
      <c r="P150" s="12"/>
      <c r="Q150" s="8"/>
      <c r="R150" s="12"/>
      <c r="T150" s="12"/>
      <c r="AH150" s="8"/>
      <c r="AI150" s="8"/>
      <c r="AJ150" s="8"/>
    </row>
    <row r="151" ht="14.25" customHeight="1">
      <c r="A151" s="44"/>
      <c r="B151" s="12"/>
      <c r="C151" s="12"/>
      <c r="D151" s="12"/>
      <c r="E151" s="12"/>
      <c r="F151" s="12"/>
      <c r="G151" s="10"/>
      <c r="H151" s="8"/>
      <c r="I151" s="12"/>
      <c r="J151" s="8"/>
      <c r="K151" s="8"/>
      <c r="L151" s="8"/>
      <c r="M151" s="8"/>
      <c r="N151" s="8"/>
      <c r="O151" s="8"/>
      <c r="P151" s="12"/>
      <c r="Q151" s="8"/>
      <c r="R151" s="12"/>
      <c r="T151" s="12"/>
      <c r="AH151" s="8"/>
      <c r="AI151" s="8"/>
      <c r="AJ151" s="8"/>
    </row>
    <row r="152" ht="14.25" customHeight="1">
      <c r="A152" s="44"/>
      <c r="B152" s="12"/>
      <c r="C152" s="12"/>
      <c r="D152" s="12"/>
      <c r="E152" s="12"/>
      <c r="F152" s="12"/>
      <c r="G152" s="10"/>
      <c r="H152" s="8"/>
      <c r="I152" s="12"/>
      <c r="J152" s="8"/>
      <c r="K152" s="8"/>
      <c r="L152" s="8"/>
      <c r="M152" s="8"/>
      <c r="N152" s="8"/>
      <c r="O152" s="8"/>
      <c r="P152" s="12"/>
      <c r="Q152" s="8"/>
      <c r="R152" s="12"/>
      <c r="T152" s="12"/>
      <c r="AH152" s="8"/>
      <c r="AI152" s="8"/>
      <c r="AJ152" s="8"/>
    </row>
    <row r="153" ht="14.25" customHeight="1">
      <c r="A153" s="44"/>
      <c r="B153" s="12"/>
      <c r="C153" s="12"/>
      <c r="D153" s="12"/>
      <c r="E153" s="12"/>
      <c r="F153" s="12"/>
      <c r="G153" s="10"/>
      <c r="H153" s="8"/>
      <c r="I153" s="12"/>
      <c r="J153" s="8"/>
      <c r="K153" s="8"/>
      <c r="L153" s="8"/>
      <c r="M153" s="8"/>
      <c r="N153" s="8"/>
      <c r="O153" s="8"/>
      <c r="P153" s="12"/>
      <c r="Q153" s="8"/>
      <c r="R153" s="12"/>
      <c r="T153" s="12"/>
      <c r="AH153" s="8"/>
      <c r="AI153" s="8"/>
      <c r="AJ153" s="8"/>
    </row>
    <row r="154" ht="14.25" customHeight="1">
      <c r="A154" s="44"/>
      <c r="B154" s="12"/>
      <c r="C154" s="12"/>
      <c r="D154" s="12"/>
      <c r="E154" s="12"/>
      <c r="F154" s="12"/>
      <c r="G154" s="10"/>
      <c r="H154" s="8"/>
      <c r="I154" s="12"/>
      <c r="J154" s="8"/>
      <c r="K154" s="8"/>
      <c r="L154" s="8"/>
      <c r="M154" s="8"/>
      <c r="N154" s="8"/>
      <c r="O154" s="8"/>
      <c r="P154" s="12"/>
      <c r="Q154" s="8"/>
      <c r="R154" s="12"/>
      <c r="T154" s="12"/>
      <c r="AH154" s="8"/>
      <c r="AI154" s="8"/>
      <c r="AJ154" s="8"/>
    </row>
    <row r="155" ht="14.25" customHeight="1">
      <c r="A155" s="44"/>
      <c r="B155" s="12"/>
      <c r="C155" s="12"/>
      <c r="D155" s="12"/>
      <c r="E155" s="12"/>
      <c r="F155" s="12"/>
      <c r="G155" s="10"/>
      <c r="H155" s="8"/>
      <c r="I155" s="12"/>
      <c r="J155" s="8"/>
      <c r="K155" s="8"/>
      <c r="L155" s="8"/>
      <c r="M155" s="8"/>
      <c r="N155" s="8"/>
      <c r="O155" s="8"/>
      <c r="P155" s="12"/>
      <c r="Q155" s="8"/>
      <c r="R155" s="12"/>
      <c r="T155" s="12"/>
      <c r="AH155" s="8"/>
      <c r="AI155" s="8"/>
      <c r="AJ155" s="8"/>
    </row>
    <row r="156" ht="14.25" customHeight="1">
      <c r="A156" s="44"/>
      <c r="B156" s="12"/>
      <c r="C156" s="12"/>
      <c r="D156" s="12"/>
      <c r="E156" s="12"/>
      <c r="F156" s="12"/>
      <c r="G156" s="10"/>
      <c r="H156" s="8"/>
      <c r="I156" s="12"/>
      <c r="J156" s="8"/>
      <c r="K156" s="8"/>
      <c r="L156" s="8"/>
      <c r="M156" s="8"/>
      <c r="N156" s="8"/>
      <c r="O156" s="8"/>
      <c r="P156" s="12"/>
      <c r="Q156" s="8"/>
      <c r="R156" s="12"/>
      <c r="T156" s="12"/>
      <c r="AH156" s="8"/>
      <c r="AI156" s="8"/>
      <c r="AJ156" s="8"/>
    </row>
    <row r="157" ht="14.25" customHeight="1">
      <c r="A157" s="44"/>
      <c r="B157" s="12"/>
      <c r="C157" s="12"/>
      <c r="D157" s="12"/>
      <c r="E157" s="12"/>
      <c r="F157" s="12"/>
      <c r="G157" s="10"/>
      <c r="H157" s="8"/>
      <c r="I157" s="12"/>
      <c r="J157" s="8"/>
      <c r="K157" s="8"/>
      <c r="L157" s="8"/>
      <c r="M157" s="8"/>
      <c r="N157" s="8"/>
      <c r="O157" s="8"/>
      <c r="P157" s="12"/>
      <c r="Q157" s="8"/>
      <c r="R157" s="12"/>
      <c r="T157" s="12"/>
      <c r="AH157" s="8"/>
      <c r="AI157" s="8"/>
      <c r="AJ157" s="8"/>
    </row>
    <row r="158" ht="14.25" customHeight="1">
      <c r="A158" s="44"/>
      <c r="B158" s="12"/>
      <c r="C158" s="12"/>
      <c r="D158" s="12"/>
      <c r="E158" s="12"/>
      <c r="F158" s="12"/>
      <c r="G158" s="10"/>
      <c r="H158" s="8"/>
      <c r="I158" s="12"/>
      <c r="J158" s="8"/>
      <c r="K158" s="8"/>
      <c r="L158" s="8"/>
      <c r="M158" s="8"/>
      <c r="N158" s="8"/>
      <c r="O158" s="8"/>
      <c r="P158" s="12"/>
      <c r="Q158" s="8"/>
      <c r="R158" s="12"/>
      <c r="T158" s="12"/>
      <c r="AH158" s="8"/>
      <c r="AI158" s="8"/>
      <c r="AJ158" s="8"/>
    </row>
    <row r="159" ht="14.25" customHeight="1">
      <c r="A159" s="44"/>
      <c r="B159" s="12"/>
      <c r="C159" s="12"/>
      <c r="D159" s="12"/>
      <c r="E159" s="12"/>
      <c r="F159" s="12"/>
      <c r="G159" s="10"/>
      <c r="H159" s="8"/>
      <c r="I159" s="12"/>
      <c r="J159" s="8"/>
      <c r="K159" s="8"/>
      <c r="L159" s="8"/>
      <c r="M159" s="8"/>
      <c r="N159" s="8"/>
      <c r="O159" s="8"/>
      <c r="P159" s="12"/>
      <c r="Q159" s="8"/>
      <c r="R159" s="12"/>
      <c r="T159" s="12"/>
      <c r="AH159" s="8"/>
      <c r="AI159" s="8"/>
      <c r="AJ159" s="8"/>
    </row>
    <row r="160" ht="14.25" customHeight="1">
      <c r="A160" s="44"/>
      <c r="B160" s="12"/>
      <c r="C160" s="12"/>
      <c r="D160" s="12"/>
      <c r="E160" s="12"/>
      <c r="F160" s="12"/>
      <c r="G160" s="10"/>
      <c r="H160" s="8"/>
      <c r="I160" s="12"/>
      <c r="J160" s="8"/>
      <c r="K160" s="8"/>
      <c r="L160" s="8"/>
      <c r="M160" s="8"/>
      <c r="N160" s="8"/>
      <c r="O160" s="8"/>
      <c r="P160" s="12"/>
      <c r="Q160" s="8"/>
      <c r="R160" s="12"/>
      <c r="T160" s="12"/>
      <c r="AH160" s="8"/>
      <c r="AI160" s="8"/>
      <c r="AJ160" s="8"/>
    </row>
    <row r="161" ht="14.25" customHeight="1">
      <c r="A161" s="44"/>
      <c r="B161" s="12"/>
      <c r="C161" s="12"/>
      <c r="D161" s="12"/>
      <c r="E161" s="12"/>
      <c r="F161" s="12"/>
      <c r="G161" s="10"/>
      <c r="H161" s="8"/>
      <c r="I161" s="12"/>
      <c r="J161" s="8"/>
      <c r="K161" s="8"/>
      <c r="L161" s="8"/>
      <c r="M161" s="8"/>
      <c r="N161" s="8"/>
      <c r="O161" s="8"/>
      <c r="P161" s="12"/>
      <c r="Q161" s="8"/>
      <c r="R161" s="12"/>
      <c r="T161" s="12"/>
      <c r="AH161" s="8"/>
      <c r="AI161" s="8"/>
      <c r="AJ161" s="8"/>
    </row>
    <row r="162" ht="14.25" customHeight="1">
      <c r="A162" s="44"/>
      <c r="B162" s="12"/>
      <c r="C162" s="12"/>
      <c r="D162" s="12"/>
      <c r="E162" s="12"/>
      <c r="F162" s="12"/>
      <c r="G162" s="10"/>
      <c r="H162" s="8"/>
      <c r="I162" s="12"/>
      <c r="J162" s="8"/>
      <c r="K162" s="8"/>
      <c r="L162" s="8"/>
      <c r="M162" s="8"/>
      <c r="N162" s="8"/>
      <c r="O162" s="8"/>
      <c r="P162" s="12"/>
      <c r="Q162" s="8"/>
      <c r="R162" s="12"/>
      <c r="T162" s="12"/>
      <c r="AH162" s="8"/>
      <c r="AI162" s="8"/>
      <c r="AJ162" s="8"/>
    </row>
    <row r="163" ht="14.25" customHeight="1">
      <c r="A163" s="44"/>
      <c r="B163" s="12"/>
      <c r="C163" s="12"/>
      <c r="D163" s="12"/>
      <c r="E163" s="12"/>
      <c r="F163" s="12"/>
      <c r="G163" s="10"/>
      <c r="H163" s="8"/>
      <c r="I163" s="12"/>
      <c r="J163" s="8"/>
      <c r="K163" s="8"/>
      <c r="L163" s="8"/>
      <c r="M163" s="8"/>
      <c r="N163" s="8"/>
      <c r="O163" s="8"/>
      <c r="P163" s="12"/>
      <c r="Q163" s="8"/>
      <c r="R163" s="12"/>
      <c r="T163" s="12"/>
      <c r="AH163" s="8"/>
      <c r="AI163" s="8"/>
      <c r="AJ163" s="8"/>
    </row>
    <row r="164" ht="14.25" customHeight="1">
      <c r="A164" s="44"/>
      <c r="B164" s="12"/>
      <c r="C164" s="12"/>
      <c r="D164" s="12"/>
      <c r="E164" s="12"/>
      <c r="F164" s="12"/>
      <c r="G164" s="10"/>
      <c r="H164" s="8"/>
      <c r="I164" s="12"/>
      <c r="J164" s="8"/>
      <c r="K164" s="8"/>
      <c r="L164" s="8"/>
      <c r="M164" s="8"/>
      <c r="N164" s="8"/>
      <c r="O164" s="8"/>
      <c r="P164" s="12"/>
      <c r="Q164" s="8"/>
      <c r="R164" s="12"/>
      <c r="T164" s="12"/>
      <c r="AH164" s="8"/>
      <c r="AI164" s="8"/>
      <c r="AJ164" s="8"/>
    </row>
    <row r="165" ht="14.25" customHeight="1">
      <c r="A165" s="44"/>
      <c r="B165" s="12"/>
      <c r="C165" s="12"/>
      <c r="D165" s="12"/>
      <c r="E165" s="12"/>
      <c r="F165" s="12"/>
      <c r="G165" s="10"/>
      <c r="H165" s="8"/>
      <c r="I165" s="12"/>
      <c r="J165" s="8"/>
      <c r="K165" s="8"/>
      <c r="L165" s="8"/>
      <c r="M165" s="8"/>
      <c r="N165" s="8"/>
      <c r="O165" s="8"/>
      <c r="P165" s="12"/>
      <c r="Q165" s="8"/>
      <c r="R165" s="12"/>
      <c r="T165" s="12"/>
      <c r="AH165" s="8"/>
      <c r="AI165" s="8"/>
      <c r="AJ165" s="8"/>
    </row>
    <row r="166" ht="14.25" customHeight="1">
      <c r="A166" s="44"/>
      <c r="B166" s="12"/>
      <c r="C166" s="12"/>
      <c r="D166" s="12"/>
      <c r="E166" s="12"/>
      <c r="F166" s="12"/>
      <c r="G166" s="10"/>
      <c r="H166" s="8"/>
      <c r="I166" s="12"/>
      <c r="J166" s="8"/>
      <c r="K166" s="8"/>
      <c r="L166" s="8"/>
      <c r="M166" s="8"/>
      <c r="N166" s="8"/>
      <c r="O166" s="8"/>
      <c r="P166" s="12"/>
      <c r="Q166" s="8"/>
      <c r="R166" s="12"/>
      <c r="T166" s="12"/>
      <c r="AH166" s="8"/>
      <c r="AI166" s="8"/>
      <c r="AJ166" s="8"/>
    </row>
    <row r="167" ht="14.25" customHeight="1">
      <c r="A167" s="44"/>
      <c r="B167" s="12"/>
      <c r="C167" s="12"/>
      <c r="D167" s="12"/>
      <c r="E167" s="12"/>
      <c r="F167" s="12"/>
      <c r="G167" s="10"/>
      <c r="H167" s="8"/>
      <c r="I167" s="12"/>
      <c r="J167" s="8"/>
      <c r="K167" s="8"/>
      <c r="L167" s="8"/>
      <c r="M167" s="8"/>
      <c r="N167" s="8"/>
      <c r="O167" s="8"/>
      <c r="P167" s="12"/>
      <c r="Q167" s="8"/>
      <c r="R167" s="12"/>
      <c r="T167" s="12"/>
      <c r="AH167" s="8"/>
      <c r="AI167" s="8"/>
      <c r="AJ167" s="8"/>
    </row>
    <row r="168" ht="14.25" customHeight="1">
      <c r="A168" s="44"/>
      <c r="B168" s="12"/>
      <c r="C168" s="12"/>
      <c r="D168" s="12"/>
      <c r="E168" s="12"/>
      <c r="F168" s="12"/>
      <c r="G168" s="10"/>
      <c r="H168" s="8"/>
      <c r="I168" s="12"/>
      <c r="J168" s="8"/>
      <c r="K168" s="8"/>
      <c r="L168" s="8"/>
      <c r="M168" s="8"/>
      <c r="N168" s="8"/>
      <c r="O168" s="8"/>
      <c r="P168" s="12"/>
      <c r="Q168" s="8"/>
      <c r="R168" s="12"/>
      <c r="T168" s="12"/>
      <c r="AH168" s="8"/>
      <c r="AI168" s="8"/>
      <c r="AJ168" s="8"/>
    </row>
    <row r="169" ht="14.25" customHeight="1">
      <c r="A169" s="44"/>
      <c r="B169" s="12"/>
      <c r="C169" s="12"/>
      <c r="D169" s="12"/>
      <c r="E169" s="12"/>
      <c r="F169" s="12"/>
      <c r="G169" s="10"/>
      <c r="H169" s="8"/>
      <c r="I169" s="12"/>
      <c r="J169" s="8"/>
      <c r="K169" s="8"/>
      <c r="L169" s="8"/>
      <c r="M169" s="8"/>
      <c r="N169" s="8"/>
      <c r="O169" s="8"/>
      <c r="P169" s="12"/>
      <c r="Q169" s="8"/>
      <c r="R169" s="12"/>
      <c r="T169" s="12"/>
      <c r="AH169" s="8"/>
      <c r="AI169" s="8"/>
      <c r="AJ169" s="8"/>
    </row>
    <row r="170" ht="14.25" customHeight="1">
      <c r="A170" s="44"/>
      <c r="B170" s="12"/>
      <c r="C170" s="12"/>
      <c r="D170" s="12"/>
      <c r="E170" s="12"/>
      <c r="F170" s="12"/>
      <c r="G170" s="10"/>
      <c r="H170" s="8"/>
      <c r="I170" s="12"/>
      <c r="J170" s="8"/>
      <c r="K170" s="8"/>
      <c r="L170" s="8"/>
      <c r="M170" s="8"/>
      <c r="N170" s="8"/>
      <c r="O170" s="8"/>
      <c r="P170" s="12"/>
      <c r="Q170" s="8"/>
      <c r="R170" s="12"/>
      <c r="T170" s="12"/>
      <c r="AH170" s="8"/>
      <c r="AI170" s="8"/>
      <c r="AJ170" s="8"/>
    </row>
    <row r="171" ht="14.25" customHeight="1">
      <c r="A171" s="44"/>
      <c r="B171" s="12"/>
      <c r="C171" s="12"/>
      <c r="D171" s="12"/>
      <c r="E171" s="12"/>
      <c r="F171" s="12"/>
      <c r="G171" s="10"/>
      <c r="H171" s="8"/>
      <c r="I171" s="12"/>
      <c r="J171" s="8"/>
      <c r="K171" s="8"/>
      <c r="L171" s="8"/>
      <c r="M171" s="8"/>
      <c r="N171" s="8"/>
      <c r="O171" s="8"/>
      <c r="P171" s="12"/>
      <c r="Q171" s="8"/>
      <c r="R171" s="12"/>
      <c r="T171" s="12"/>
      <c r="AH171" s="8"/>
      <c r="AI171" s="8"/>
      <c r="AJ171" s="8"/>
    </row>
    <row r="172" ht="14.25" customHeight="1">
      <c r="A172" s="44"/>
      <c r="B172" s="12"/>
      <c r="C172" s="12"/>
      <c r="D172" s="12"/>
      <c r="E172" s="12"/>
      <c r="F172" s="12"/>
      <c r="G172" s="10"/>
      <c r="H172" s="8"/>
      <c r="I172" s="12"/>
      <c r="J172" s="8"/>
      <c r="K172" s="8"/>
      <c r="L172" s="8"/>
      <c r="M172" s="8"/>
      <c r="N172" s="8"/>
      <c r="O172" s="8"/>
      <c r="P172" s="12"/>
      <c r="Q172" s="8"/>
      <c r="R172" s="12"/>
      <c r="T172" s="12"/>
      <c r="AH172" s="8"/>
      <c r="AI172" s="8"/>
      <c r="AJ172" s="8"/>
    </row>
    <row r="173" ht="14.25" customHeight="1">
      <c r="A173" s="44"/>
      <c r="B173" s="12"/>
      <c r="C173" s="12"/>
      <c r="D173" s="12"/>
      <c r="E173" s="12"/>
      <c r="F173" s="12"/>
      <c r="G173" s="10"/>
      <c r="H173" s="8"/>
      <c r="I173" s="12"/>
      <c r="J173" s="8"/>
      <c r="K173" s="8"/>
      <c r="L173" s="8"/>
      <c r="M173" s="8"/>
      <c r="N173" s="8"/>
      <c r="O173" s="8"/>
      <c r="P173" s="12"/>
      <c r="Q173" s="8"/>
      <c r="R173" s="12"/>
      <c r="T173" s="12"/>
      <c r="AH173" s="8"/>
      <c r="AI173" s="8"/>
      <c r="AJ173" s="8"/>
    </row>
    <row r="174" ht="14.25" customHeight="1">
      <c r="A174" s="44"/>
      <c r="B174" s="12"/>
      <c r="C174" s="12"/>
      <c r="D174" s="12"/>
      <c r="E174" s="12"/>
      <c r="F174" s="12"/>
      <c r="G174" s="10"/>
      <c r="H174" s="8"/>
      <c r="I174" s="12"/>
      <c r="J174" s="8"/>
      <c r="K174" s="8"/>
      <c r="L174" s="8"/>
      <c r="M174" s="8"/>
      <c r="N174" s="8"/>
      <c r="O174" s="8"/>
      <c r="P174" s="12"/>
      <c r="Q174" s="8"/>
      <c r="R174" s="12"/>
      <c r="T174" s="12"/>
      <c r="AH174" s="8"/>
      <c r="AI174" s="8"/>
      <c r="AJ174" s="8"/>
    </row>
    <row r="175" ht="14.25" customHeight="1">
      <c r="A175" s="44"/>
      <c r="B175" s="12"/>
      <c r="C175" s="12"/>
      <c r="D175" s="12"/>
      <c r="E175" s="12"/>
      <c r="F175" s="12"/>
      <c r="G175" s="10"/>
      <c r="H175" s="8"/>
      <c r="I175" s="12"/>
      <c r="J175" s="8"/>
      <c r="K175" s="8"/>
      <c r="L175" s="8"/>
      <c r="M175" s="8"/>
      <c r="N175" s="8"/>
      <c r="O175" s="8"/>
      <c r="P175" s="12"/>
      <c r="Q175" s="8"/>
      <c r="R175" s="12"/>
      <c r="T175" s="12"/>
      <c r="AH175" s="8"/>
      <c r="AI175" s="8"/>
      <c r="AJ175" s="8"/>
    </row>
    <row r="176" ht="14.25" customHeight="1">
      <c r="A176" s="44"/>
      <c r="B176" s="12"/>
      <c r="C176" s="12"/>
      <c r="D176" s="12"/>
      <c r="E176" s="12"/>
      <c r="F176" s="12"/>
      <c r="G176" s="10"/>
      <c r="H176" s="8"/>
      <c r="I176" s="12"/>
      <c r="J176" s="8"/>
      <c r="K176" s="8"/>
      <c r="L176" s="8"/>
      <c r="M176" s="8"/>
      <c r="N176" s="8"/>
      <c r="O176" s="8"/>
      <c r="P176" s="12"/>
      <c r="Q176" s="8"/>
      <c r="R176" s="12"/>
      <c r="T176" s="12"/>
      <c r="AH176" s="8"/>
      <c r="AI176" s="8"/>
      <c r="AJ176" s="8"/>
    </row>
    <row r="177" ht="14.25" customHeight="1">
      <c r="A177" s="44"/>
      <c r="B177" s="12"/>
      <c r="C177" s="12"/>
      <c r="D177" s="12"/>
      <c r="E177" s="12"/>
      <c r="F177" s="12"/>
      <c r="G177" s="10"/>
      <c r="H177" s="8"/>
      <c r="I177" s="12"/>
      <c r="J177" s="8"/>
      <c r="K177" s="8"/>
      <c r="L177" s="8"/>
      <c r="M177" s="8"/>
      <c r="N177" s="8"/>
      <c r="O177" s="8"/>
      <c r="P177" s="12"/>
      <c r="Q177" s="8"/>
      <c r="R177" s="12"/>
      <c r="T177" s="12"/>
      <c r="AH177" s="8"/>
      <c r="AI177" s="8"/>
      <c r="AJ177" s="8"/>
    </row>
    <row r="178" ht="14.25" customHeight="1">
      <c r="A178" s="44"/>
      <c r="B178" s="12"/>
      <c r="C178" s="12"/>
      <c r="D178" s="12"/>
      <c r="E178" s="12"/>
      <c r="F178" s="12"/>
      <c r="G178" s="10"/>
      <c r="H178" s="8"/>
      <c r="I178" s="12"/>
      <c r="J178" s="8"/>
      <c r="K178" s="8"/>
      <c r="L178" s="8"/>
      <c r="M178" s="8"/>
      <c r="N178" s="8"/>
      <c r="O178" s="8"/>
      <c r="P178" s="12"/>
      <c r="Q178" s="8"/>
      <c r="R178" s="12"/>
      <c r="T178" s="12"/>
      <c r="AH178" s="8"/>
      <c r="AI178" s="8"/>
      <c r="AJ178" s="8"/>
    </row>
    <row r="179" ht="14.25" customHeight="1">
      <c r="A179" s="44"/>
      <c r="B179" s="12"/>
      <c r="C179" s="12"/>
      <c r="D179" s="12"/>
      <c r="E179" s="12"/>
      <c r="F179" s="12"/>
      <c r="G179" s="10"/>
      <c r="H179" s="8"/>
      <c r="I179" s="12"/>
      <c r="J179" s="8"/>
      <c r="K179" s="8"/>
      <c r="L179" s="8"/>
      <c r="M179" s="8"/>
      <c r="N179" s="8"/>
      <c r="O179" s="8"/>
      <c r="P179" s="12"/>
      <c r="Q179" s="8"/>
      <c r="R179" s="12"/>
      <c r="T179" s="12"/>
      <c r="AH179" s="8"/>
      <c r="AI179" s="8"/>
      <c r="AJ179" s="8"/>
    </row>
    <row r="180" ht="14.25" customHeight="1">
      <c r="A180" s="44"/>
      <c r="B180" s="12"/>
      <c r="C180" s="12"/>
      <c r="D180" s="12"/>
      <c r="E180" s="12"/>
      <c r="F180" s="12"/>
      <c r="G180" s="10"/>
      <c r="H180" s="8"/>
      <c r="I180" s="12"/>
      <c r="J180" s="8"/>
      <c r="K180" s="8"/>
      <c r="L180" s="8"/>
      <c r="M180" s="8"/>
      <c r="N180" s="8"/>
      <c r="O180" s="8"/>
      <c r="P180" s="12"/>
      <c r="Q180" s="8"/>
      <c r="R180" s="12"/>
      <c r="T180" s="12"/>
      <c r="AH180" s="8"/>
      <c r="AI180" s="8"/>
      <c r="AJ180" s="8"/>
    </row>
    <row r="181" ht="14.25" customHeight="1">
      <c r="A181" s="44"/>
      <c r="B181" s="12"/>
      <c r="C181" s="12"/>
      <c r="D181" s="12"/>
      <c r="E181" s="12"/>
      <c r="F181" s="12"/>
      <c r="G181" s="10"/>
      <c r="H181" s="8"/>
      <c r="I181" s="12"/>
      <c r="J181" s="8"/>
      <c r="K181" s="8"/>
      <c r="L181" s="8"/>
      <c r="M181" s="8"/>
      <c r="N181" s="8"/>
      <c r="O181" s="8"/>
      <c r="P181" s="12"/>
      <c r="Q181" s="8"/>
      <c r="R181" s="12"/>
      <c r="T181" s="12"/>
      <c r="AH181" s="8"/>
      <c r="AI181" s="8"/>
      <c r="AJ181" s="8"/>
    </row>
    <row r="182" ht="14.25" customHeight="1">
      <c r="A182" s="44"/>
      <c r="B182" s="12"/>
      <c r="C182" s="12"/>
      <c r="D182" s="12"/>
      <c r="E182" s="12"/>
      <c r="F182" s="12"/>
      <c r="G182" s="10"/>
      <c r="H182" s="8"/>
      <c r="I182" s="12"/>
      <c r="J182" s="8"/>
      <c r="K182" s="8"/>
      <c r="L182" s="8"/>
      <c r="M182" s="8"/>
      <c r="N182" s="8"/>
      <c r="O182" s="8"/>
      <c r="P182" s="12"/>
      <c r="Q182" s="8"/>
      <c r="R182" s="12"/>
      <c r="T182" s="12"/>
      <c r="AH182" s="8"/>
      <c r="AI182" s="8"/>
      <c r="AJ182" s="8"/>
    </row>
    <row r="183" ht="14.25" customHeight="1">
      <c r="A183" s="44"/>
      <c r="B183" s="12"/>
      <c r="C183" s="12"/>
      <c r="D183" s="12"/>
      <c r="E183" s="12"/>
      <c r="F183" s="12"/>
      <c r="G183" s="10"/>
      <c r="H183" s="8"/>
      <c r="I183" s="12"/>
      <c r="J183" s="8"/>
      <c r="K183" s="8"/>
      <c r="L183" s="8"/>
      <c r="M183" s="8"/>
      <c r="N183" s="8"/>
      <c r="O183" s="8"/>
      <c r="P183" s="12"/>
      <c r="Q183" s="8"/>
      <c r="R183" s="12"/>
      <c r="T183" s="12"/>
      <c r="AH183" s="8"/>
      <c r="AI183" s="8"/>
      <c r="AJ183" s="8"/>
    </row>
    <row r="184" ht="14.25" customHeight="1">
      <c r="A184" s="44"/>
      <c r="B184" s="12"/>
      <c r="C184" s="12"/>
      <c r="D184" s="12"/>
      <c r="E184" s="12"/>
      <c r="F184" s="12"/>
      <c r="G184" s="10"/>
      <c r="H184" s="8"/>
      <c r="I184" s="12"/>
      <c r="J184" s="8"/>
      <c r="K184" s="8"/>
      <c r="L184" s="8"/>
      <c r="M184" s="8"/>
      <c r="N184" s="8"/>
      <c r="O184" s="8"/>
      <c r="P184" s="12"/>
      <c r="Q184" s="8"/>
      <c r="R184" s="12"/>
      <c r="T184" s="12"/>
      <c r="AH184" s="8"/>
      <c r="AI184" s="8"/>
      <c r="AJ184" s="8"/>
    </row>
    <row r="185" ht="14.25" customHeight="1">
      <c r="A185" s="44"/>
      <c r="B185" s="12"/>
      <c r="C185" s="12"/>
      <c r="D185" s="12"/>
      <c r="E185" s="12"/>
      <c r="F185" s="12"/>
      <c r="G185" s="10"/>
      <c r="H185" s="8"/>
      <c r="I185" s="12"/>
      <c r="J185" s="8"/>
      <c r="K185" s="8"/>
      <c r="L185" s="8"/>
      <c r="M185" s="8"/>
      <c r="N185" s="8"/>
      <c r="O185" s="8"/>
      <c r="P185" s="12"/>
      <c r="Q185" s="8"/>
      <c r="R185" s="12"/>
      <c r="T185" s="12"/>
      <c r="AH185" s="8"/>
      <c r="AI185" s="8"/>
      <c r="AJ185" s="8"/>
    </row>
    <row r="186" ht="14.25" customHeight="1">
      <c r="A186" s="44"/>
      <c r="B186" s="12"/>
      <c r="C186" s="12"/>
      <c r="D186" s="12"/>
      <c r="E186" s="12"/>
      <c r="F186" s="12"/>
      <c r="G186" s="10"/>
      <c r="H186" s="8"/>
      <c r="I186" s="12"/>
      <c r="J186" s="8"/>
      <c r="K186" s="8"/>
      <c r="L186" s="8"/>
      <c r="M186" s="8"/>
      <c r="N186" s="8"/>
      <c r="O186" s="8"/>
      <c r="P186" s="12"/>
      <c r="Q186" s="8"/>
      <c r="R186" s="12"/>
      <c r="T186" s="12"/>
      <c r="AH186" s="8"/>
      <c r="AI186" s="8"/>
      <c r="AJ186" s="8"/>
    </row>
    <row r="187" ht="14.25" customHeight="1">
      <c r="A187" s="44"/>
      <c r="B187" s="12"/>
      <c r="C187" s="12"/>
      <c r="D187" s="12"/>
      <c r="E187" s="12"/>
      <c r="F187" s="12"/>
      <c r="G187" s="10"/>
      <c r="H187" s="8"/>
      <c r="I187" s="12"/>
      <c r="J187" s="8"/>
      <c r="K187" s="8"/>
      <c r="L187" s="8"/>
      <c r="M187" s="8"/>
      <c r="N187" s="8"/>
      <c r="O187" s="8"/>
      <c r="P187" s="12"/>
      <c r="Q187" s="8"/>
      <c r="R187" s="12"/>
      <c r="T187" s="12"/>
      <c r="AH187" s="8"/>
      <c r="AI187" s="8"/>
      <c r="AJ187" s="8"/>
    </row>
    <row r="188" ht="14.25" customHeight="1">
      <c r="A188" s="44"/>
      <c r="B188" s="12"/>
      <c r="C188" s="12"/>
      <c r="D188" s="12"/>
      <c r="E188" s="12"/>
      <c r="F188" s="12"/>
      <c r="G188" s="10"/>
      <c r="H188" s="8"/>
      <c r="I188" s="12"/>
      <c r="J188" s="8"/>
      <c r="K188" s="8"/>
      <c r="L188" s="8"/>
      <c r="M188" s="8"/>
      <c r="N188" s="8"/>
      <c r="O188" s="8"/>
      <c r="P188" s="12"/>
      <c r="Q188" s="8"/>
      <c r="R188" s="12"/>
      <c r="T188" s="12"/>
      <c r="AH188" s="8"/>
      <c r="AI188" s="8"/>
      <c r="AJ188" s="8"/>
    </row>
    <row r="189" ht="14.25" customHeight="1">
      <c r="A189" s="44"/>
      <c r="B189" s="12"/>
      <c r="C189" s="12"/>
      <c r="D189" s="12"/>
      <c r="E189" s="12"/>
      <c r="F189" s="12"/>
      <c r="G189" s="10"/>
      <c r="H189" s="8"/>
      <c r="I189" s="12"/>
      <c r="J189" s="8"/>
      <c r="K189" s="8"/>
      <c r="L189" s="8"/>
      <c r="M189" s="8"/>
      <c r="N189" s="8"/>
      <c r="O189" s="8"/>
      <c r="P189" s="12"/>
      <c r="Q189" s="8"/>
      <c r="R189" s="12"/>
      <c r="T189" s="12"/>
      <c r="AH189" s="8"/>
      <c r="AI189" s="8"/>
      <c r="AJ189" s="8"/>
    </row>
    <row r="190" ht="14.25" customHeight="1">
      <c r="A190" s="44"/>
      <c r="B190" s="12"/>
      <c r="C190" s="12"/>
      <c r="D190" s="12"/>
      <c r="E190" s="12"/>
      <c r="F190" s="12"/>
      <c r="G190" s="10"/>
      <c r="H190" s="8"/>
      <c r="I190" s="12"/>
      <c r="J190" s="8"/>
      <c r="K190" s="8"/>
      <c r="L190" s="8"/>
      <c r="M190" s="8"/>
      <c r="N190" s="8"/>
      <c r="O190" s="8"/>
      <c r="P190" s="12"/>
      <c r="Q190" s="8"/>
      <c r="R190" s="12"/>
      <c r="T190" s="12"/>
      <c r="AH190" s="8"/>
      <c r="AI190" s="8"/>
      <c r="AJ190" s="8"/>
    </row>
    <row r="191" ht="14.25" customHeight="1">
      <c r="A191" s="44"/>
      <c r="B191" s="12"/>
      <c r="C191" s="12"/>
      <c r="D191" s="12"/>
      <c r="E191" s="12"/>
      <c r="F191" s="12"/>
      <c r="G191" s="10"/>
      <c r="H191" s="8"/>
      <c r="I191" s="12"/>
      <c r="J191" s="8"/>
      <c r="K191" s="8"/>
      <c r="L191" s="8"/>
      <c r="M191" s="8"/>
      <c r="N191" s="8"/>
      <c r="O191" s="8"/>
      <c r="P191" s="12"/>
      <c r="Q191" s="8"/>
      <c r="R191" s="12"/>
      <c r="T191" s="12"/>
      <c r="AH191" s="8"/>
      <c r="AI191" s="8"/>
      <c r="AJ191" s="8"/>
    </row>
    <row r="192" ht="14.25" customHeight="1">
      <c r="A192" s="44"/>
      <c r="B192" s="12"/>
      <c r="C192" s="12"/>
      <c r="D192" s="12"/>
      <c r="E192" s="12"/>
      <c r="F192" s="12"/>
      <c r="G192" s="10"/>
      <c r="H192" s="8"/>
      <c r="I192" s="12"/>
      <c r="J192" s="8"/>
      <c r="K192" s="8"/>
      <c r="L192" s="8"/>
      <c r="M192" s="8"/>
      <c r="N192" s="8"/>
      <c r="O192" s="8"/>
      <c r="P192" s="12"/>
      <c r="Q192" s="8"/>
      <c r="R192" s="12"/>
      <c r="T192" s="12"/>
      <c r="AH192" s="8"/>
      <c r="AI192" s="8"/>
      <c r="AJ192" s="8"/>
    </row>
    <row r="193" ht="14.25" customHeight="1">
      <c r="A193" s="44"/>
      <c r="B193" s="12"/>
      <c r="C193" s="12"/>
      <c r="D193" s="12"/>
      <c r="E193" s="12"/>
      <c r="F193" s="12"/>
      <c r="G193" s="10"/>
      <c r="H193" s="8"/>
      <c r="I193" s="12"/>
      <c r="J193" s="8"/>
      <c r="K193" s="8"/>
      <c r="L193" s="8"/>
      <c r="M193" s="8"/>
      <c r="N193" s="8"/>
      <c r="O193" s="8"/>
      <c r="P193" s="12"/>
      <c r="Q193" s="8"/>
      <c r="R193" s="12"/>
      <c r="T193" s="12"/>
      <c r="AH193" s="8"/>
      <c r="AI193" s="8"/>
      <c r="AJ193" s="8"/>
    </row>
    <row r="194" ht="14.25" customHeight="1">
      <c r="A194" s="44"/>
      <c r="B194" s="12"/>
      <c r="C194" s="12"/>
      <c r="D194" s="12"/>
      <c r="E194" s="12"/>
      <c r="F194" s="12"/>
      <c r="G194" s="10"/>
      <c r="H194" s="8"/>
      <c r="I194" s="12"/>
      <c r="J194" s="8"/>
      <c r="K194" s="8"/>
      <c r="L194" s="8"/>
      <c r="M194" s="8"/>
      <c r="N194" s="8"/>
      <c r="O194" s="8"/>
      <c r="P194" s="12"/>
      <c r="Q194" s="8"/>
      <c r="R194" s="12"/>
      <c r="T194" s="12"/>
      <c r="AH194" s="8"/>
      <c r="AI194" s="8"/>
      <c r="AJ194" s="8"/>
    </row>
    <row r="195" ht="14.25" customHeight="1">
      <c r="A195" s="44"/>
      <c r="B195" s="12"/>
      <c r="C195" s="12"/>
      <c r="D195" s="12"/>
      <c r="E195" s="12"/>
      <c r="F195" s="12"/>
      <c r="G195" s="10"/>
      <c r="H195" s="8"/>
      <c r="I195" s="12"/>
      <c r="J195" s="8"/>
      <c r="K195" s="8"/>
      <c r="L195" s="8"/>
      <c r="M195" s="8"/>
      <c r="N195" s="8"/>
      <c r="O195" s="8"/>
      <c r="P195" s="12"/>
      <c r="Q195" s="8"/>
      <c r="R195" s="12"/>
      <c r="T195" s="12"/>
      <c r="AH195" s="8"/>
      <c r="AI195" s="8"/>
      <c r="AJ195" s="8"/>
    </row>
    <row r="196" ht="14.25" customHeight="1">
      <c r="A196" s="44"/>
      <c r="B196" s="12"/>
      <c r="C196" s="12"/>
      <c r="D196" s="12"/>
      <c r="E196" s="12"/>
      <c r="F196" s="12"/>
      <c r="G196" s="10"/>
      <c r="H196" s="8"/>
      <c r="I196" s="12"/>
      <c r="J196" s="8"/>
      <c r="K196" s="8"/>
      <c r="L196" s="8"/>
      <c r="M196" s="8"/>
      <c r="N196" s="8"/>
      <c r="O196" s="8"/>
      <c r="P196" s="12"/>
      <c r="Q196" s="8"/>
      <c r="R196" s="12"/>
      <c r="T196" s="12"/>
      <c r="AH196" s="8"/>
      <c r="AI196" s="8"/>
      <c r="AJ196" s="8"/>
    </row>
    <row r="197" ht="14.25" customHeight="1">
      <c r="A197" s="44"/>
      <c r="B197" s="12"/>
      <c r="C197" s="12"/>
      <c r="D197" s="12"/>
      <c r="E197" s="12"/>
      <c r="F197" s="12"/>
      <c r="G197" s="10"/>
      <c r="H197" s="8"/>
      <c r="I197" s="12"/>
      <c r="J197" s="8"/>
      <c r="K197" s="8"/>
      <c r="L197" s="8"/>
      <c r="M197" s="8"/>
      <c r="N197" s="8"/>
      <c r="O197" s="8"/>
      <c r="P197" s="12"/>
      <c r="Q197" s="8"/>
      <c r="R197" s="12"/>
      <c r="T197" s="12"/>
      <c r="AH197" s="8"/>
      <c r="AI197" s="8"/>
      <c r="AJ197" s="8"/>
    </row>
    <row r="198" ht="14.25" customHeight="1">
      <c r="A198" s="44"/>
      <c r="B198" s="12"/>
      <c r="C198" s="12"/>
      <c r="D198" s="12"/>
      <c r="E198" s="12"/>
      <c r="F198" s="12"/>
      <c r="G198" s="10"/>
      <c r="H198" s="8"/>
      <c r="I198" s="12"/>
      <c r="J198" s="8"/>
      <c r="K198" s="8"/>
      <c r="L198" s="8"/>
      <c r="M198" s="8"/>
      <c r="N198" s="8"/>
      <c r="O198" s="8"/>
      <c r="P198" s="12"/>
      <c r="Q198" s="8"/>
      <c r="R198" s="12"/>
      <c r="T198" s="12"/>
      <c r="AH198" s="8"/>
      <c r="AI198" s="8"/>
      <c r="AJ198" s="8"/>
    </row>
    <row r="199" ht="14.25" customHeight="1">
      <c r="A199" s="44"/>
      <c r="B199" s="12"/>
      <c r="C199" s="12"/>
      <c r="D199" s="12"/>
      <c r="E199" s="12"/>
      <c r="F199" s="12"/>
      <c r="G199" s="10"/>
      <c r="H199" s="8"/>
      <c r="I199" s="12"/>
      <c r="J199" s="8"/>
      <c r="K199" s="8"/>
      <c r="L199" s="8"/>
      <c r="M199" s="8"/>
      <c r="N199" s="8"/>
      <c r="O199" s="8"/>
      <c r="P199" s="12"/>
      <c r="Q199" s="8"/>
      <c r="R199" s="12"/>
      <c r="T199" s="12"/>
      <c r="AH199" s="8"/>
      <c r="AI199" s="8"/>
      <c r="AJ199" s="8"/>
    </row>
    <row r="200" ht="14.25" customHeight="1">
      <c r="A200" s="44"/>
      <c r="B200" s="12"/>
      <c r="C200" s="12"/>
      <c r="D200" s="12"/>
      <c r="E200" s="12"/>
      <c r="F200" s="12"/>
      <c r="G200" s="10"/>
      <c r="H200" s="8"/>
      <c r="I200" s="12"/>
      <c r="J200" s="8"/>
      <c r="K200" s="8"/>
      <c r="L200" s="8"/>
      <c r="M200" s="8"/>
      <c r="N200" s="8"/>
      <c r="O200" s="8"/>
      <c r="P200" s="12"/>
      <c r="Q200" s="8"/>
      <c r="R200" s="12"/>
      <c r="T200" s="12"/>
      <c r="AH200" s="8"/>
      <c r="AI200" s="8"/>
      <c r="AJ200" s="8"/>
    </row>
    <row r="201" ht="14.25" customHeight="1">
      <c r="A201" s="44"/>
      <c r="B201" s="12"/>
      <c r="C201" s="12"/>
      <c r="D201" s="12"/>
      <c r="E201" s="12"/>
      <c r="F201" s="12"/>
      <c r="G201" s="10"/>
      <c r="H201" s="8"/>
      <c r="I201" s="12"/>
      <c r="J201" s="8"/>
      <c r="K201" s="8"/>
      <c r="L201" s="8"/>
      <c r="M201" s="8"/>
      <c r="N201" s="8"/>
      <c r="O201" s="8"/>
      <c r="P201" s="12"/>
      <c r="Q201" s="8"/>
      <c r="R201" s="12"/>
      <c r="T201" s="12"/>
      <c r="AH201" s="8"/>
      <c r="AI201" s="8"/>
      <c r="AJ201" s="8"/>
    </row>
    <row r="202" ht="14.25" customHeight="1">
      <c r="A202" s="44"/>
      <c r="B202" s="12"/>
      <c r="C202" s="12"/>
      <c r="D202" s="12"/>
      <c r="E202" s="12"/>
      <c r="F202" s="12"/>
      <c r="G202" s="10"/>
      <c r="H202" s="8"/>
      <c r="I202" s="12"/>
      <c r="J202" s="8"/>
      <c r="K202" s="8"/>
      <c r="L202" s="8"/>
      <c r="M202" s="8"/>
      <c r="N202" s="8"/>
      <c r="O202" s="8"/>
      <c r="P202" s="12"/>
      <c r="Q202" s="8"/>
      <c r="R202" s="12"/>
      <c r="T202" s="12"/>
      <c r="AH202" s="8"/>
      <c r="AI202" s="8"/>
      <c r="AJ202" s="8"/>
    </row>
    <row r="203" ht="14.25" customHeight="1">
      <c r="A203" s="44"/>
      <c r="B203" s="12"/>
      <c r="C203" s="12"/>
      <c r="D203" s="12"/>
      <c r="E203" s="12"/>
      <c r="F203" s="12"/>
      <c r="G203" s="10"/>
      <c r="H203" s="8"/>
      <c r="I203" s="12"/>
      <c r="J203" s="8"/>
      <c r="K203" s="8"/>
      <c r="L203" s="8"/>
      <c r="M203" s="8"/>
      <c r="N203" s="8"/>
      <c r="O203" s="8"/>
      <c r="P203" s="12"/>
      <c r="Q203" s="8"/>
      <c r="R203" s="12"/>
      <c r="T203" s="12"/>
      <c r="AH203" s="8"/>
      <c r="AI203" s="8"/>
      <c r="AJ203" s="8"/>
    </row>
    <row r="204" ht="14.25" customHeight="1">
      <c r="A204" s="44"/>
      <c r="B204" s="12"/>
      <c r="C204" s="12"/>
      <c r="D204" s="12"/>
      <c r="E204" s="12"/>
      <c r="F204" s="12"/>
      <c r="G204" s="10"/>
      <c r="H204" s="8"/>
      <c r="I204" s="12"/>
      <c r="J204" s="8"/>
      <c r="K204" s="8"/>
      <c r="L204" s="8"/>
      <c r="M204" s="8"/>
      <c r="N204" s="8"/>
      <c r="O204" s="8"/>
      <c r="P204" s="12"/>
      <c r="Q204" s="8"/>
      <c r="R204" s="12"/>
      <c r="T204" s="12"/>
      <c r="AH204" s="8"/>
      <c r="AI204" s="8"/>
      <c r="AJ204" s="8"/>
    </row>
    <row r="205" ht="14.25" customHeight="1">
      <c r="A205" s="44"/>
      <c r="B205" s="12"/>
      <c r="C205" s="12"/>
      <c r="D205" s="12"/>
      <c r="E205" s="12"/>
      <c r="F205" s="12"/>
      <c r="G205" s="10"/>
      <c r="H205" s="8"/>
      <c r="I205" s="12"/>
      <c r="J205" s="8"/>
      <c r="K205" s="8"/>
      <c r="L205" s="8"/>
      <c r="M205" s="8"/>
      <c r="N205" s="8"/>
      <c r="O205" s="8"/>
      <c r="P205" s="12"/>
      <c r="Q205" s="8"/>
      <c r="R205" s="12"/>
      <c r="T205" s="12"/>
      <c r="AH205" s="8"/>
      <c r="AI205" s="8"/>
      <c r="AJ205" s="8"/>
    </row>
    <row r="206" ht="14.25" customHeight="1">
      <c r="A206" s="44"/>
      <c r="B206" s="12"/>
      <c r="C206" s="12"/>
      <c r="D206" s="12"/>
      <c r="E206" s="12"/>
      <c r="F206" s="12"/>
      <c r="G206" s="10"/>
      <c r="H206" s="8"/>
      <c r="I206" s="12"/>
      <c r="J206" s="8"/>
      <c r="K206" s="8"/>
      <c r="L206" s="8"/>
      <c r="M206" s="8"/>
      <c r="N206" s="8"/>
      <c r="O206" s="8"/>
      <c r="P206" s="12"/>
      <c r="Q206" s="8"/>
      <c r="R206" s="12"/>
      <c r="T206" s="12"/>
      <c r="AH206" s="8"/>
      <c r="AI206" s="8"/>
      <c r="AJ206" s="8"/>
    </row>
    <row r="207" ht="14.25" customHeight="1">
      <c r="A207" s="44"/>
      <c r="B207" s="12"/>
      <c r="C207" s="12"/>
      <c r="D207" s="12"/>
      <c r="E207" s="12"/>
      <c r="F207" s="12"/>
      <c r="G207" s="10"/>
      <c r="H207" s="8"/>
      <c r="I207" s="12"/>
      <c r="J207" s="8"/>
      <c r="K207" s="8"/>
      <c r="L207" s="8"/>
      <c r="M207" s="8"/>
      <c r="N207" s="8"/>
      <c r="O207" s="8"/>
      <c r="P207" s="12"/>
      <c r="Q207" s="8"/>
      <c r="R207" s="12"/>
      <c r="T207" s="12"/>
      <c r="AH207" s="8"/>
      <c r="AI207" s="8"/>
      <c r="AJ207" s="8"/>
    </row>
    <row r="208" ht="14.25" customHeight="1">
      <c r="A208" s="44"/>
      <c r="B208" s="12"/>
      <c r="C208" s="12"/>
      <c r="D208" s="12"/>
      <c r="E208" s="12"/>
      <c r="F208" s="12"/>
      <c r="G208" s="10"/>
      <c r="H208" s="8"/>
      <c r="I208" s="12"/>
      <c r="J208" s="8"/>
      <c r="K208" s="8"/>
      <c r="L208" s="8"/>
      <c r="M208" s="8"/>
      <c r="N208" s="8"/>
      <c r="O208" s="8"/>
      <c r="P208" s="12"/>
      <c r="Q208" s="8"/>
      <c r="R208" s="12"/>
      <c r="T208" s="12"/>
      <c r="AH208" s="8"/>
      <c r="AI208" s="8"/>
      <c r="AJ208" s="8"/>
    </row>
    <row r="209" ht="14.25" customHeight="1">
      <c r="A209" s="44"/>
      <c r="B209" s="12"/>
      <c r="C209" s="12"/>
      <c r="D209" s="12"/>
      <c r="E209" s="12"/>
      <c r="F209" s="12"/>
      <c r="G209" s="10"/>
      <c r="H209" s="8"/>
      <c r="I209" s="12"/>
      <c r="J209" s="8"/>
      <c r="K209" s="8"/>
      <c r="L209" s="8"/>
      <c r="M209" s="8"/>
      <c r="N209" s="8"/>
      <c r="O209" s="8"/>
      <c r="P209" s="12"/>
      <c r="Q209" s="8"/>
      <c r="R209" s="12"/>
      <c r="T209" s="12"/>
      <c r="AH209" s="8"/>
      <c r="AI209" s="8"/>
      <c r="AJ209" s="8"/>
    </row>
    <row r="210" ht="14.25" customHeight="1">
      <c r="A210" s="44"/>
      <c r="B210" s="12"/>
      <c r="C210" s="12"/>
      <c r="D210" s="12"/>
      <c r="E210" s="12"/>
      <c r="F210" s="12"/>
      <c r="G210" s="10"/>
      <c r="H210" s="8"/>
      <c r="I210" s="12"/>
      <c r="J210" s="8"/>
      <c r="K210" s="8"/>
      <c r="L210" s="8"/>
      <c r="M210" s="8"/>
      <c r="N210" s="8"/>
      <c r="O210" s="8"/>
      <c r="P210" s="12"/>
      <c r="Q210" s="8"/>
      <c r="R210" s="12"/>
      <c r="T210" s="12"/>
      <c r="AH210" s="8"/>
      <c r="AI210" s="8"/>
      <c r="AJ210" s="8"/>
    </row>
    <row r="211" ht="14.25" customHeight="1">
      <c r="A211" s="44"/>
      <c r="B211" s="12"/>
      <c r="C211" s="12"/>
      <c r="D211" s="12"/>
      <c r="E211" s="12"/>
      <c r="F211" s="12"/>
      <c r="G211" s="10"/>
      <c r="H211" s="8"/>
      <c r="I211" s="12"/>
      <c r="J211" s="8"/>
      <c r="K211" s="8"/>
      <c r="L211" s="8"/>
      <c r="M211" s="8"/>
      <c r="N211" s="8"/>
      <c r="O211" s="8"/>
      <c r="P211" s="12"/>
      <c r="Q211" s="8"/>
      <c r="R211" s="12"/>
      <c r="T211" s="12"/>
      <c r="AH211" s="8"/>
      <c r="AI211" s="8"/>
      <c r="AJ211" s="8"/>
    </row>
    <row r="212" ht="14.25" customHeight="1">
      <c r="A212" s="44"/>
      <c r="B212" s="12"/>
      <c r="C212" s="12"/>
      <c r="D212" s="12"/>
      <c r="E212" s="12"/>
      <c r="F212" s="12"/>
      <c r="G212" s="10"/>
      <c r="H212" s="8"/>
      <c r="I212" s="12"/>
      <c r="J212" s="8"/>
      <c r="K212" s="8"/>
      <c r="L212" s="8"/>
      <c r="M212" s="8"/>
      <c r="N212" s="8"/>
      <c r="O212" s="8"/>
      <c r="P212" s="12"/>
      <c r="Q212" s="8"/>
      <c r="R212" s="12"/>
      <c r="T212" s="12"/>
      <c r="AH212" s="8"/>
      <c r="AI212" s="8"/>
      <c r="AJ212" s="8"/>
    </row>
    <row r="213" ht="14.25" customHeight="1">
      <c r="A213" s="44"/>
      <c r="B213" s="12"/>
      <c r="C213" s="12"/>
      <c r="D213" s="12"/>
      <c r="E213" s="12"/>
      <c r="F213" s="12"/>
      <c r="G213" s="10"/>
      <c r="H213" s="8"/>
      <c r="I213" s="12"/>
      <c r="J213" s="8"/>
      <c r="K213" s="8"/>
      <c r="L213" s="8"/>
      <c r="M213" s="8"/>
      <c r="N213" s="8"/>
      <c r="O213" s="8"/>
      <c r="P213" s="12"/>
      <c r="Q213" s="8"/>
      <c r="R213" s="12"/>
      <c r="T213" s="12"/>
      <c r="AH213" s="8"/>
      <c r="AI213" s="8"/>
      <c r="AJ213" s="8"/>
    </row>
    <row r="214" ht="14.25" customHeight="1">
      <c r="A214" s="44"/>
      <c r="B214" s="12"/>
      <c r="C214" s="12"/>
      <c r="D214" s="12"/>
      <c r="E214" s="12"/>
      <c r="F214" s="12"/>
      <c r="G214" s="10"/>
      <c r="H214" s="8"/>
      <c r="I214" s="12"/>
      <c r="J214" s="8"/>
      <c r="K214" s="8"/>
      <c r="L214" s="8"/>
      <c r="M214" s="8"/>
      <c r="N214" s="8"/>
      <c r="O214" s="8"/>
      <c r="P214" s="12"/>
      <c r="Q214" s="8"/>
      <c r="R214" s="12"/>
      <c r="T214" s="12"/>
      <c r="AH214" s="8"/>
      <c r="AI214" s="8"/>
      <c r="AJ214" s="8"/>
    </row>
    <row r="215" ht="14.25" customHeight="1">
      <c r="A215" s="44"/>
      <c r="B215" s="12"/>
      <c r="C215" s="12"/>
      <c r="D215" s="12"/>
      <c r="E215" s="12"/>
      <c r="F215" s="12"/>
      <c r="G215" s="10"/>
      <c r="H215" s="8"/>
      <c r="I215" s="12"/>
      <c r="J215" s="8"/>
      <c r="K215" s="8"/>
      <c r="L215" s="8"/>
      <c r="M215" s="8"/>
      <c r="N215" s="8"/>
      <c r="O215" s="8"/>
      <c r="P215" s="12"/>
      <c r="Q215" s="8"/>
      <c r="R215" s="12"/>
      <c r="T215" s="12"/>
      <c r="AH215" s="8"/>
      <c r="AI215" s="8"/>
      <c r="AJ215" s="8"/>
    </row>
    <row r="216" ht="14.25" customHeight="1">
      <c r="A216" s="44"/>
      <c r="B216" s="12"/>
      <c r="C216" s="12"/>
      <c r="D216" s="12"/>
      <c r="E216" s="12"/>
      <c r="F216" s="12"/>
      <c r="G216" s="10"/>
      <c r="H216" s="8"/>
      <c r="I216" s="12"/>
      <c r="J216" s="8"/>
      <c r="K216" s="8"/>
      <c r="L216" s="8"/>
      <c r="M216" s="8"/>
      <c r="N216" s="8"/>
      <c r="O216" s="8"/>
      <c r="P216" s="12"/>
      <c r="Q216" s="8"/>
      <c r="R216" s="12"/>
      <c r="T216" s="12"/>
      <c r="AH216" s="8"/>
      <c r="AI216" s="8"/>
      <c r="AJ216" s="8"/>
    </row>
    <row r="217" ht="14.25" customHeight="1">
      <c r="A217" s="44"/>
      <c r="B217" s="12"/>
      <c r="C217" s="12"/>
      <c r="D217" s="12"/>
      <c r="E217" s="12"/>
      <c r="F217" s="12"/>
      <c r="G217" s="10"/>
      <c r="H217" s="8"/>
      <c r="I217" s="12"/>
      <c r="J217" s="8"/>
      <c r="K217" s="8"/>
      <c r="L217" s="8"/>
      <c r="M217" s="8"/>
      <c r="N217" s="8"/>
      <c r="O217" s="8"/>
      <c r="P217" s="12"/>
      <c r="Q217" s="8"/>
      <c r="R217" s="12"/>
      <c r="T217" s="12"/>
      <c r="AH217" s="8"/>
      <c r="AI217" s="8"/>
      <c r="AJ217" s="8"/>
    </row>
    <row r="218" ht="14.25" customHeight="1">
      <c r="A218" s="44"/>
      <c r="B218" s="12"/>
      <c r="C218" s="12"/>
      <c r="D218" s="12"/>
      <c r="E218" s="12"/>
      <c r="F218" s="12"/>
      <c r="G218" s="10"/>
      <c r="H218" s="8"/>
      <c r="I218" s="12"/>
      <c r="J218" s="8"/>
      <c r="K218" s="8"/>
      <c r="L218" s="8"/>
      <c r="M218" s="8"/>
      <c r="N218" s="8"/>
      <c r="O218" s="8"/>
      <c r="P218" s="12"/>
      <c r="Q218" s="8"/>
      <c r="R218" s="12"/>
      <c r="T218" s="12"/>
      <c r="AH218" s="8"/>
      <c r="AI218" s="8"/>
      <c r="AJ218" s="8"/>
    </row>
    <row r="219" ht="14.25" customHeight="1">
      <c r="A219" s="44"/>
      <c r="B219" s="12"/>
      <c r="C219" s="12"/>
      <c r="D219" s="12"/>
      <c r="E219" s="12"/>
      <c r="F219" s="12"/>
      <c r="G219" s="10"/>
      <c r="H219" s="8"/>
      <c r="I219" s="12"/>
      <c r="J219" s="8"/>
      <c r="K219" s="8"/>
      <c r="L219" s="8"/>
      <c r="M219" s="8"/>
      <c r="N219" s="8"/>
      <c r="O219" s="8"/>
      <c r="P219" s="12"/>
      <c r="Q219" s="8"/>
      <c r="R219" s="12"/>
      <c r="T219" s="12"/>
      <c r="AH219" s="8"/>
      <c r="AI219" s="8"/>
      <c r="AJ219" s="8"/>
    </row>
    <row r="220" ht="14.25" customHeight="1">
      <c r="A220" s="44"/>
      <c r="B220" s="12"/>
      <c r="C220" s="12"/>
      <c r="D220" s="12"/>
      <c r="E220" s="12"/>
      <c r="F220" s="12"/>
      <c r="G220" s="10"/>
      <c r="H220" s="8"/>
      <c r="I220" s="12"/>
      <c r="J220" s="8"/>
      <c r="K220" s="8"/>
      <c r="L220" s="8"/>
      <c r="M220" s="8"/>
      <c r="N220" s="8"/>
      <c r="O220" s="8"/>
      <c r="P220" s="12"/>
      <c r="Q220" s="8"/>
      <c r="R220" s="12"/>
      <c r="T220" s="12"/>
      <c r="AH220" s="8"/>
      <c r="AI220" s="8"/>
      <c r="AJ220" s="8"/>
    </row>
    <row r="221" ht="14.25" customHeight="1">
      <c r="A221" s="44"/>
      <c r="B221" s="12"/>
      <c r="C221" s="12"/>
      <c r="D221" s="12"/>
      <c r="E221" s="12"/>
      <c r="F221" s="12"/>
      <c r="G221" s="10"/>
      <c r="H221" s="8"/>
      <c r="I221" s="12"/>
      <c r="J221" s="8"/>
      <c r="K221" s="8"/>
      <c r="L221" s="8"/>
      <c r="M221" s="8"/>
      <c r="N221" s="8"/>
      <c r="O221" s="8"/>
      <c r="P221" s="12"/>
      <c r="Q221" s="8"/>
      <c r="R221" s="12"/>
      <c r="T221" s="12"/>
      <c r="AH221" s="8"/>
      <c r="AI221" s="8"/>
      <c r="AJ221" s="8"/>
    </row>
    <row r="222" ht="14.25" customHeight="1">
      <c r="A222" s="44"/>
      <c r="B222" s="12"/>
      <c r="C222" s="12"/>
      <c r="D222" s="12"/>
      <c r="E222" s="12"/>
      <c r="F222" s="12"/>
      <c r="G222" s="10"/>
      <c r="H222" s="8"/>
      <c r="I222" s="12"/>
      <c r="J222" s="8"/>
      <c r="K222" s="8"/>
      <c r="L222" s="8"/>
      <c r="M222" s="8"/>
      <c r="N222" s="8"/>
      <c r="O222" s="8"/>
      <c r="P222" s="12"/>
      <c r="Q222" s="8"/>
      <c r="R222" s="12"/>
      <c r="T222" s="12"/>
      <c r="AH222" s="8"/>
      <c r="AI222" s="8"/>
      <c r="AJ222" s="8"/>
    </row>
    <row r="223" ht="14.25" customHeight="1">
      <c r="A223" s="44"/>
      <c r="B223" s="12"/>
      <c r="C223" s="12"/>
      <c r="D223" s="12"/>
      <c r="E223" s="12"/>
      <c r="F223" s="12"/>
      <c r="G223" s="10"/>
      <c r="H223" s="8"/>
      <c r="I223" s="12"/>
      <c r="J223" s="8"/>
      <c r="K223" s="8"/>
      <c r="L223" s="8"/>
      <c r="M223" s="8"/>
      <c r="N223" s="8"/>
      <c r="O223" s="8"/>
      <c r="P223" s="12"/>
      <c r="Q223" s="8"/>
      <c r="R223" s="12"/>
      <c r="T223" s="12"/>
      <c r="AH223" s="8"/>
      <c r="AI223" s="8"/>
      <c r="AJ223" s="8"/>
    </row>
    <row r="224" ht="14.25" customHeight="1">
      <c r="A224" s="44"/>
      <c r="B224" s="12"/>
      <c r="C224" s="12"/>
      <c r="D224" s="12"/>
      <c r="E224" s="12"/>
      <c r="F224" s="12"/>
      <c r="G224" s="10"/>
      <c r="H224" s="8"/>
      <c r="I224" s="12"/>
      <c r="J224" s="8"/>
      <c r="K224" s="8"/>
      <c r="L224" s="8"/>
      <c r="M224" s="8"/>
      <c r="N224" s="8"/>
      <c r="O224" s="8"/>
      <c r="P224" s="12"/>
      <c r="Q224" s="8"/>
      <c r="R224" s="12"/>
      <c r="T224" s="12"/>
      <c r="AH224" s="8"/>
      <c r="AI224" s="8"/>
      <c r="AJ224" s="8"/>
    </row>
    <row r="225" ht="14.25" customHeight="1">
      <c r="A225" s="44"/>
      <c r="B225" s="12"/>
      <c r="C225" s="12"/>
      <c r="D225" s="12"/>
      <c r="E225" s="12"/>
      <c r="F225" s="12"/>
      <c r="G225" s="10"/>
      <c r="H225" s="8"/>
      <c r="I225" s="12"/>
      <c r="J225" s="8"/>
      <c r="K225" s="8"/>
      <c r="L225" s="8"/>
      <c r="M225" s="8"/>
      <c r="N225" s="8"/>
      <c r="O225" s="8"/>
      <c r="P225" s="12"/>
      <c r="Q225" s="8"/>
      <c r="R225" s="12"/>
      <c r="T225" s="12"/>
      <c r="AH225" s="8"/>
      <c r="AI225" s="8"/>
      <c r="AJ225" s="8"/>
    </row>
    <row r="226" ht="14.25" customHeight="1">
      <c r="A226" s="44"/>
      <c r="B226" s="12"/>
      <c r="C226" s="12"/>
      <c r="D226" s="12"/>
      <c r="E226" s="12"/>
      <c r="F226" s="12"/>
      <c r="G226" s="10"/>
      <c r="H226" s="8"/>
      <c r="I226" s="12"/>
      <c r="J226" s="8"/>
      <c r="K226" s="8"/>
      <c r="L226" s="8"/>
      <c r="M226" s="8"/>
      <c r="N226" s="8"/>
      <c r="O226" s="8"/>
      <c r="P226" s="12"/>
      <c r="Q226" s="8"/>
      <c r="R226" s="12"/>
      <c r="T226" s="12"/>
      <c r="AH226" s="8"/>
      <c r="AI226" s="8"/>
      <c r="AJ226" s="8"/>
    </row>
    <row r="227" ht="14.25" customHeight="1">
      <c r="A227" s="44"/>
      <c r="B227" s="12"/>
      <c r="C227" s="12"/>
      <c r="D227" s="12"/>
      <c r="E227" s="12"/>
      <c r="F227" s="12"/>
      <c r="G227" s="10"/>
      <c r="H227" s="8"/>
      <c r="I227" s="12"/>
      <c r="J227" s="8"/>
      <c r="K227" s="8"/>
      <c r="L227" s="8"/>
      <c r="M227" s="8"/>
      <c r="N227" s="8"/>
      <c r="O227" s="8"/>
      <c r="P227" s="12"/>
      <c r="Q227" s="8"/>
      <c r="R227" s="12"/>
      <c r="T227" s="12"/>
      <c r="AH227" s="8"/>
      <c r="AI227" s="8"/>
      <c r="AJ227" s="8"/>
    </row>
    <row r="228" ht="14.25" customHeight="1">
      <c r="A228" s="44"/>
      <c r="B228" s="12"/>
      <c r="C228" s="12"/>
      <c r="D228" s="12"/>
      <c r="E228" s="12"/>
      <c r="F228" s="12"/>
      <c r="G228" s="10"/>
      <c r="H228" s="8"/>
      <c r="I228" s="12"/>
      <c r="J228" s="8"/>
      <c r="K228" s="8"/>
      <c r="L228" s="8"/>
      <c r="M228" s="8"/>
      <c r="N228" s="8"/>
      <c r="O228" s="8"/>
      <c r="P228" s="12"/>
      <c r="Q228" s="8"/>
      <c r="R228" s="12"/>
      <c r="T228" s="12"/>
      <c r="AH228" s="8"/>
      <c r="AI228" s="8"/>
      <c r="AJ228" s="8"/>
    </row>
    <row r="229" ht="14.25" customHeight="1">
      <c r="A229" s="44"/>
      <c r="B229" s="12"/>
      <c r="C229" s="12"/>
      <c r="D229" s="12"/>
      <c r="E229" s="12"/>
      <c r="F229" s="12"/>
      <c r="G229" s="10"/>
      <c r="H229" s="8"/>
      <c r="I229" s="12"/>
      <c r="J229" s="8"/>
      <c r="K229" s="8"/>
      <c r="L229" s="8"/>
      <c r="M229" s="8"/>
      <c r="N229" s="8"/>
      <c r="O229" s="8"/>
      <c r="P229" s="12"/>
      <c r="Q229" s="8"/>
      <c r="R229" s="12"/>
      <c r="T229" s="12"/>
      <c r="AH229" s="8"/>
      <c r="AI229" s="8"/>
      <c r="AJ229" s="8"/>
    </row>
    <row r="230" ht="14.25" customHeight="1">
      <c r="A230" s="44"/>
      <c r="B230" s="12"/>
      <c r="C230" s="12"/>
      <c r="D230" s="12"/>
      <c r="E230" s="12"/>
      <c r="F230" s="12"/>
      <c r="G230" s="10"/>
      <c r="H230" s="8"/>
      <c r="I230" s="12"/>
      <c r="J230" s="8"/>
      <c r="K230" s="8"/>
      <c r="L230" s="8"/>
      <c r="M230" s="8"/>
      <c r="N230" s="8"/>
      <c r="O230" s="8"/>
      <c r="P230" s="12"/>
      <c r="Q230" s="8"/>
      <c r="R230" s="12"/>
      <c r="T230" s="12"/>
      <c r="AH230" s="8"/>
      <c r="AI230" s="8"/>
      <c r="AJ230" s="8"/>
    </row>
    <row r="231" ht="14.25" customHeight="1">
      <c r="A231" s="44"/>
      <c r="B231" s="12"/>
      <c r="C231" s="12"/>
      <c r="D231" s="12"/>
      <c r="E231" s="12"/>
      <c r="F231" s="12"/>
      <c r="G231" s="10"/>
      <c r="H231" s="8"/>
      <c r="I231" s="12"/>
      <c r="J231" s="8"/>
      <c r="K231" s="8"/>
      <c r="L231" s="8"/>
      <c r="M231" s="8"/>
      <c r="N231" s="8"/>
      <c r="O231" s="8"/>
      <c r="P231" s="12"/>
      <c r="Q231" s="8"/>
      <c r="R231" s="12"/>
      <c r="T231" s="12"/>
      <c r="AH231" s="8"/>
      <c r="AI231" s="8"/>
      <c r="AJ231" s="8"/>
    </row>
    <row r="232" ht="14.25" customHeight="1">
      <c r="A232" s="44"/>
      <c r="B232" s="12"/>
      <c r="C232" s="12"/>
      <c r="D232" s="12"/>
      <c r="E232" s="12"/>
      <c r="F232" s="12"/>
      <c r="G232" s="10"/>
      <c r="H232" s="8"/>
      <c r="I232" s="12"/>
      <c r="J232" s="8"/>
      <c r="K232" s="8"/>
      <c r="L232" s="8"/>
      <c r="M232" s="8"/>
      <c r="N232" s="8"/>
      <c r="O232" s="8"/>
      <c r="P232" s="12"/>
      <c r="Q232" s="8"/>
      <c r="R232" s="12"/>
      <c r="T232" s="12"/>
      <c r="AH232" s="8"/>
      <c r="AI232" s="8"/>
      <c r="AJ232" s="8"/>
    </row>
    <row r="233" ht="14.25" customHeight="1">
      <c r="A233" s="44"/>
      <c r="B233" s="12"/>
      <c r="C233" s="12"/>
      <c r="D233" s="12"/>
      <c r="E233" s="12"/>
      <c r="F233" s="12"/>
      <c r="G233" s="10"/>
      <c r="H233" s="8"/>
      <c r="I233" s="12"/>
      <c r="J233" s="8"/>
      <c r="K233" s="8"/>
      <c r="L233" s="8"/>
      <c r="M233" s="8"/>
      <c r="N233" s="8"/>
      <c r="O233" s="8"/>
      <c r="P233" s="12"/>
      <c r="Q233" s="8"/>
      <c r="R233" s="12"/>
      <c r="T233" s="12"/>
      <c r="AH233" s="8"/>
      <c r="AI233" s="8"/>
      <c r="AJ233" s="8"/>
    </row>
    <row r="234" ht="14.25" customHeight="1">
      <c r="A234" s="44"/>
      <c r="B234" s="12"/>
      <c r="C234" s="12"/>
      <c r="D234" s="12"/>
      <c r="E234" s="12"/>
      <c r="F234" s="12"/>
      <c r="G234" s="10"/>
      <c r="H234" s="8"/>
      <c r="I234" s="12"/>
      <c r="J234" s="8"/>
      <c r="K234" s="8"/>
      <c r="L234" s="8"/>
      <c r="M234" s="8"/>
      <c r="N234" s="8"/>
      <c r="O234" s="8"/>
      <c r="P234" s="12"/>
      <c r="Q234" s="8"/>
      <c r="R234" s="12"/>
      <c r="T234" s="12"/>
      <c r="AH234" s="8"/>
      <c r="AI234" s="8"/>
      <c r="AJ234" s="8"/>
    </row>
    <row r="235" ht="14.25" customHeight="1">
      <c r="A235" s="44"/>
      <c r="B235" s="12"/>
      <c r="C235" s="12"/>
      <c r="D235" s="12"/>
      <c r="E235" s="12"/>
      <c r="F235" s="12"/>
      <c r="G235" s="10"/>
      <c r="H235" s="8"/>
      <c r="I235" s="12"/>
      <c r="J235" s="8"/>
      <c r="K235" s="8"/>
      <c r="L235" s="8"/>
      <c r="M235" s="8"/>
      <c r="N235" s="8"/>
      <c r="O235" s="8"/>
      <c r="P235" s="12"/>
      <c r="Q235" s="8"/>
      <c r="R235" s="12"/>
      <c r="T235" s="12"/>
      <c r="AH235" s="8"/>
      <c r="AI235" s="8"/>
      <c r="AJ235" s="8"/>
    </row>
    <row r="236" ht="14.25" customHeight="1">
      <c r="A236" s="44"/>
      <c r="B236" s="12"/>
      <c r="C236" s="12"/>
      <c r="D236" s="12"/>
      <c r="E236" s="12"/>
      <c r="F236" s="12"/>
      <c r="G236" s="10"/>
      <c r="H236" s="8"/>
      <c r="I236" s="12"/>
      <c r="J236" s="8"/>
      <c r="K236" s="8"/>
      <c r="L236" s="8"/>
      <c r="M236" s="8"/>
      <c r="N236" s="8"/>
      <c r="O236" s="8"/>
      <c r="P236" s="12"/>
      <c r="Q236" s="8"/>
      <c r="R236" s="12"/>
      <c r="T236" s="12"/>
      <c r="AH236" s="8"/>
      <c r="AI236" s="8"/>
      <c r="AJ236" s="8"/>
    </row>
    <row r="237" ht="14.25" customHeight="1">
      <c r="A237" s="44"/>
      <c r="B237" s="12"/>
      <c r="C237" s="12"/>
      <c r="D237" s="12"/>
      <c r="E237" s="12"/>
      <c r="F237" s="12"/>
      <c r="G237" s="10"/>
      <c r="H237" s="8"/>
      <c r="I237" s="12"/>
      <c r="J237" s="8"/>
      <c r="K237" s="8"/>
      <c r="L237" s="8"/>
      <c r="M237" s="8"/>
      <c r="N237" s="8"/>
      <c r="O237" s="8"/>
      <c r="P237" s="12"/>
      <c r="Q237" s="8"/>
      <c r="R237" s="12"/>
      <c r="T237" s="12"/>
      <c r="AH237" s="8"/>
      <c r="AI237" s="8"/>
      <c r="AJ237" s="8"/>
    </row>
    <row r="238" ht="14.25" customHeight="1">
      <c r="A238" s="44"/>
      <c r="B238" s="12"/>
      <c r="C238" s="12"/>
      <c r="D238" s="12"/>
      <c r="E238" s="12"/>
      <c r="F238" s="12"/>
      <c r="G238" s="10"/>
      <c r="H238" s="8"/>
      <c r="I238" s="12"/>
      <c r="J238" s="8"/>
      <c r="K238" s="8"/>
      <c r="L238" s="8"/>
      <c r="M238" s="8"/>
      <c r="N238" s="8"/>
      <c r="O238" s="8"/>
      <c r="P238" s="12"/>
      <c r="Q238" s="8"/>
      <c r="R238" s="12"/>
      <c r="T238" s="12"/>
      <c r="AH238" s="8"/>
      <c r="AI238" s="8"/>
      <c r="AJ238" s="8"/>
    </row>
    <row r="239" ht="14.25" customHeight="1">
      <c r="A239" s="44"/>
      <c r="B239" s="12"/>
      <c r="C239" s="12"/>
      <c r="D239" s="12"/>
      <c r="E239" s="12"/>
      <c r="F239" s="12"/>
      <c r="G239" s="10"/>
      <c r="H239" s="8"/>
      <c r="I239" s="12"/>
      <c r="J239" s="8"/>
      <c r="K239" s="8"/>
      <c r="L239" s="8"/>
      <c r="M239" s="8"/>
      <c r="N239" s="8"/>
      <c r="O239" s="8"/>
      <c r="P239" s="12"/>
      <c r="Q239" s="8"/>
      <c r="R239" s="12"/>
      <c r="T239" s="12"/>
      <c r="AH239" s="8"/>
      <c r="AI239" s="8"/>
      <c r="AJ239" s="8"/>
    </row>
    <row r="240" ht="14.25" customHeight="1">
      <c r="A240" s="44"/>
      <c r="B240" s="12"/>
      <c r="C240" s="12"/>
      <c r="D240" s="12"/>
      <c r="E240" s="12"/>
      <c r="F240" s="12"/>
      <c r="G240" s="10"/>
      <c r="H240" s="8"/>
      <c r="I240" s="12"/>
      <c r="J240" s="8"/>
      <c r="K240" s="8"/>
      <c r="L240" s="8"/>
      <c r="M240" s="8"/>
      <c r="N240" s="8"/>
      <c r="O240" s="8"/>
      <c r="P240" s="12"/>
      <c r="Q240" s="8"/>
      <c r="R240" s="12"/>
      <c r="T240" s="12"/>
      <c r="AH240" s="8"/>
      <c r="AI240" s="8"/>
      <c r="AJ240" s="8"/>
    </row>
    <row r="241" ht="14.25" customHeight="1">
      <c r="A241" s="44"/>
      <c r="B241" s="12"/>
      <c r="C241" s="12"/>
      <c r="D241" s="12"/>
      <c r="E241" s="12"/>
      <c r="F241" s="12"/>
      <c r="G241" s="10"/>
      <c r="H241" s="8"/>
      <c r="I241" s="12"/>
      <c r="J241" s="8"/>
      <c r="K241" s="8"/>
      <c r="L241" s="8"/>
      <c r="M241" s="8"/>
      <c r="N241" s="8"/>
      <c r="O241" s="8"/>
      <c r="P241" s="12"/>
      <c r="Q241" s="8"/>
      <c r="R241" s="12"/>
      <c r="T241" s="12"/>
      <c r="AH241" s="8"/>
      <c r="AI241" s="8"/>
      <c r="AJ241" s="8"/>
    </row>
    <row r="242" ht="14.25" customHeight="1">
      <c r="A242" s="44"/>
      <c r="B242" s="12"/>
      <c r="C242" s="12"/>
      <c r="D242" s="12"/>
      <c r="E242" s="12"/>
      <c r="F242" s="12"/>
      <c r="G242" s="10"/>
      <c r="H242" s="8"/>
      <c r="I242" s="12"/>
      <c r="J242" s="8"/>
      <c r="K242" s="8"/>
      <c r="L242" s="8"/>
      <c r="M242" s="8"/>
      <c r="N242" s="8"/>
      <c r="O242" s="8"/>
      <c r="P242" s="12"/>
      <c r="Q242" s="8"/>
      <c r="R242" s="12"/>
      <c r="T242" s="12"/>
      <c r="AH242" s="8"/>
      <c r="AI242" s="8"/>
      <c r="AJ242" s="8"/>
    </row>
    <row r="243" ht="14.25" customHeight="1">
      <c r="A243" s="44"/>
      <c r="B243" s="12"/>
      <c r="C243" s="12"/>
      <c r="D243" s="12"/>
      <c r="E243" s="12"/>
      <c r="F243" s="12"/>
      <c r="G243" s="10"/>
      <c r="H243" s="8"/>
      <c r="I243" s="12"/>
      <c r="J243" s="8"/>
      <c r="K243" s="8"/>
      <c r="L243" s="8"/>
      <c r="M243" s="8"/>
      <c r="N243" s="8"/>
      <c r="O243" s="8"/>
      <c r="P243" s="12"/>
      <c r="Q243" s="8"/>
      <c r="R243" s="12"/>
      <c r="T243" s="12"/>
      <c r="AH243" s="8"/>
      <c r="AI243" s="8"/>
      <c r="AJ243" s="8"/>
    </row>
    <row r="244" ht="14.25" customHeight="1">
      <c r="A244" s="44"/>
      <c r="B244" s="12"/>
      <c r="C244" s="12"/>
      <c r="D244" s="12"/>
      <c r="E244" s="12"/>
      <c r="F244" s="12"/>
      <c r="G244" s="10"/>
      <c r="H244" s="8"/>
      <c r="I244" s="12"/>
      <c r="J244" s="8"/>
      <c r="K244" s="8"/>
      <c r="L244" s="8"/>
      <c r="M244" s="8"/>
      <c r="N244" s="8"/>
      <c r="O244" s="8"/>
      <c r="P244" s="12"/>
      <c r="Q244" s="8"/>
      <c r="R244" s="12"/>
      <c r="T244" s="12"/>
      <c r="AH244" s="8"/>
      <c r="AI244" s="8"/>
      <c r="AJ244" s="8"/>
    </row>
    <row r="245" ht="14.25" customHeight="1">
      <c r="A245" s="44"/>
      <c r="B245" s="12"/>
      <c r="C245" s="12"/>
      <c r="D245" s="12"/>
      <c r="E245" s="12"/>
      <c r="F245" s="12"/>
      <c r="G245" s="10"/>
      <c r="H245" s="8"/>
      <c r="I245" s="12"/>
      <c r="J245" s="8"/>
      <c r="K245" s="8"/>
      <c r="L245" s="8"/>
      <c r="M245" s="8"/>
      <c r="N245" s="8"/>
      <c r="O245" s="8"/>
      <c r="P245" s="12"/>
      <c r="Q245" s="8"/>
      <c r="R245" s="12"/>
      <c r="T245" s="12"/>
      <c r="AH245" s="8"/>
      <c r="AI245" s="8"/>
      <c r="AJ245" s="8"/>
    </row>
    <row r="246" ht="14.25" customHeight="1">
      <c r="A246" s="44"/>
      <c r="B246" s="12"/>
      <c r="C246" s="12"/>
      <c r="D246" s="12"/>
      <c r="E246" s="12"/>
      <c r="F246" s="12"/>
      <c r="G246" s="10"/>
      <c r="H246" s="8"/>
      <c r="I246" s="12"/>
      <c r="J246" s="8"/>
      <c r="K246" s="8"/>
      <c r="L246" s="8"/>
      <c r="M246" s="8"/>
      <c r="N246" s="8"/>
      <c r="O246" s="8"/>
      <c r="P246" s="12"/>
      <c r="Q246" s="8"/>
      <c r="R246" s="12"/>
      <c r="T246" s="12"/>
      <c r="AH246" s="8"/>
      <c r="AI246" s="8"/>
      <c r="AJ246" s="8"/>
    </row>
    <row r="247" ht="14.25" customHeight="1">
      <c r="A247" s="44"/>
      <c r="B247" s="12"/>
      <c r="C247" s="12"/>
      <c r="D247" s="12"/>
      <c r="E247" s="12"/>
      <c r="F247" s="12"/>
      <c r="G247" s="10"/>
      <c r="H247" s="8"/>
      <c r="I247" s="12"/>
      <c r="J247" s="8"/>
      <c r="K247" s="8"/>
      <c r="L247" s="8"/>
      <c r="M247" s="8"/>
      <c r="N247" s="8"/>
      <c r="O247" s="8"/>
      <c r="P247" s="12"/>
      <c r="Q247" s="8"/>
      <c r="R247" s="12"/>
      <c r="T247" s="12"/>
      <c r="AH247" s="8"/>
      <c r="AI247" s="8"/>
      <c r="AJ247" s="8"/>
    </row>
    <row r="248" ht="14.25" customHeight="1">
      <c r="A248" s="44"/>
      <c r="B248" s="12"/>
      <c r="C248" s="12"/>
      <c r="D248" s="12"/>
      <c r="E248" s="12"/>
      <c r="F248" s="12"/>
      <c r="G248" s="10"/>
      <c r="H248" s="8"/>
      <c r="I248" s="12"/>
      <c r="J248" s="8"/>
      <c r="K248" s="8"/>
      <c r="L248" s="8"/>
      <c r="M248" s="8"/>
      <c r="N248" s="8"/>
      <c r="O248" s="8"/>
      <c r="P248" s="12"/>
      <c r="Q248" s="8"/>
      <c r="R248" s="12"/>
      <c r="T248" s="12"/>
      <c r="AH248" s="8"/>
      <c r="AI248" s="8"/>
      <c r="AJ248" s="8"/>
    </row>
    <row r="249" ht="14.25" customHeight="1">
      <c r="A249" s="44"/>
      <c r="B249" s="12"/>
      <c r="C249" s="12"/>
      <c r="D249" s="12"/>
      <c r="E249" s="12"/>
      <c r="F249" s="12"/>
      <c r="G249" s="10"/>
      <c r="H249" s="8"/>
      <c r="I249" s="12"/>
      <c r="J249" s="8"/>
      <c r="K249" s="8"/>
      <c r="L249" s="8"/>
      <c r="M249" s="8"/>
      <c r="N249" s="8"/>
      <c r="O249" s="8"/>
      <c r="P249" s="12"/>
      <c r="Q249" s="8"/>
      <c r="R249" s="12"/>
      <c r="T249" s="12"/>
      <c r="AH249" s="8"/>
      <c r="AI249" s="8"/>
      <c r="AJ249" s="8"/>
    </row>
    <row r="250" ht="14.25" customHeight="1">
      <c r="A250" s="44"/>
      <c r="B250" s="12"/>
      <c r="C250" s="12"/>
      <c r="D250" s="12"/>
      <c r="E250" s="12"/>
      <c r="F250" s="12"/>
      <c r="G250" s="10"/>
      <c r="H250" s="8"/>
      <c r="I250" s="12"/>
      <c r="J250" s="8"/>
      <c r="K250" s="8"/>
      <c r="L250" s="8"/>
      <c r="M250" s="8"/>
      <c r="N250" s="8"/>
      <c r="O250" s="8"/>
      <c r="P250" s="12"/>
      <c r="Q250" s="8"/>
      <c r="R250" s="12"/>
      <c r="T250" s="12"/>
      <c r="AH250" s="8"/>
      <c r="AI250" s="8"/>
      <c r="AJ250" s="8"/>
    </row>
    <row r="251" ht="14.25" customHeight="1">
      <c r="A251" s="44"/>
      <c r="B251" s="12"/>
      <c r="C251" s="12"/>
      <c r="D251" s="12"/>
      <c r="E251" s="12"/>
      <c r="F251" s="12"/>
      <c r="G251" s="10"/>
      <c r="H251" s="8"/>
      <c r="I251" s="12"/>
      <c r="J251" s="8"/>
      <c r="K251" s="8"/>
      <c r="L251" s="8"/>
      <c r="M251" s="8"/>
      <c r="N251" s="8"/>
      <c r="O251" s="8"/>
      <c r="P251" s="12"/>
      <c r="Q251" s="8"/>
      <c r="R251" s="12"/>
      <c r="T251" s="12"/>
      <c r="AH251" s="8"/>
      <c r="AI251" s="8"/>
      <c r="AJ251" s="8"/>
    </row>
    <row r="252" ht="14.25" customHeight="1">
      <c r="A252" s="44"/>
      <c r="B252" s="12"/>
      <c r="C252" s="12"/>
      <c r="D252" s="12"/>
      <c r="E252" s="12"/>
      <c r="F252" s="12"/>
      <c r="G252" s="10"/>
      <c r="H252" s="8"/>
      <c r="I252" s="12"/>
      <c r="J252" s="8"/>
      <c r="K252" s="8"/>
      <c r="L252" s="8"/>
      <c r="M252" s="8"/>
      <c r="N252" s="8"/>
      <c r="O252" s="8"/>
      <c r="P252" s="12"/>
      <c r="Q252" s="8"/>
      <c r="R252" s="12"/>
      <c r="T252" s="12"/>
      <c r="AH252" s="8"/>
      <c r="AI252" s="8"/>
      <c r="AJ252" s="8"/>
    </row>
    <row r="253" ht="14.25" customHeight="1">
      <c r="A253" s="44"/>
      <c r="B253" s="12"/>
      <c r="C253" s="12"/>
      <c r="D253" s="12"/>
      <c r="E253" s="12"/>
      <c r="F253" s="12"/>
      <c r="G253" s="10"/>
      <c r="H253" s="8"/>
      <c r="I253" s="12"/>
      <c r="J253" s="8"/>
      <c r="K253" s="8"/>
      <c r="L253" s="8"/>
      <c r="M253" s="8"/>
      <c r="N253" s="8"/>
      <c r="O253" s="8"/>
      <c r="P253" s="12"/>
      <c r="Q253" s="8"/>
      <c r="R253" s="12"/>
      <c r="T253" s="12"/>
      <c r="AH253" s="8"/>
      <c r="AI253" s="8"/>
      <c r="AJ253" s="8"/>
    </row>
    <row r="254" ht="14.25" customHeight="1">
      <c r="A254" s="44"/>
      <c r="B254" s="12"/>
      <c r="C254" s="12"/>
      <c r="D254" s="12"/>
      <c r="E254" s="12"/>
      <c r="F254" s="12"/>
      <c r="G254" s="10"/>
      <c r="H254" s="8"/>
      <c r="I254" s="12"/>
      <c r="J254" s="8"/>
      <c r="K254" s="8"/>
      <c r="L254" s="8"/>
      <c r="M254" s="8"/>
      <c r="N254" s="8"/>
      <c r="O254" s="8"/>
      <c r="P254" s="12"/>
      <c r="Q254" s="8"/>
      <c r="R254" s="12"/>
      <c r="T254" s="12"/>
      <c r="AH254" s="8"/>
      <c r="AI254" s="8"/>
      <c r="AJ254" s="8"/>
    </row>
    <row r="255" ht="14.25" customHeight="1">
      <c r="A255" s="44"/>
      <c r="B255" s="12"/>
      <c r="C255" s="12"/>
      <c r="D255" s="12"/>
      <c r="E255" s="12"/>
      <c r="F255" s="12"/>
      <c r="G255" s="10"/>
      <c r="H255" s="8"/>
      <c r="I255" s="12"/>
      <c r="J255" s="8"/>
      <c r="K255" s="8"/>
      <c r="L255" s="8"/>
      <c r="M255" s="8"/>
      <c r="N255" s="8"/>
      <c r="O255" s="8"/>
      <c r="P255" s="12"/>
      <c r="Q255" s="8"/>
      <c r="R255" s="12"/>
      <c r="T255" s="12"/>
      <c r="AH255" s="8"/>
      <c r="AI255" s="8"/>
      <c r="AJ255" s="8"/>
    </row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J4:L4"/>
    <mergeCell ref="M4:O4"/>
    <mergeCell ref="P4:R4"/>
    <mergeCell ref="S4:U4"/>
    <mergeCell ref="V4:X4"/>
    <mergeCell ref="Y4:AA4"/>
    <mergeCell ref="D3:I3"/>
    <mergeCell ref="J3:O3"/>
    <mergeCell ref="P3:U3"/>
    <mergeCell ref="V3:AA3"/>
    <mergeCell ref="B4:C4"/>
    <mergeCell ref="D4:F4"/>
    <mergeCell ref="G4:I4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31.29"/>
    <col customWidth="1" min="3" max="3" width="25.0"/>
    <col customWidth="1" min="4" max="6" width="10.86"/>
    <col customWidth="1" min="7" max="7" width="10.14"/>
    <col customWidth="1" min="8" max="8" width="13.43"/>
    <col customWidth="1" min="9" max="9" width="20.14"/>
    <col customWidth="1" min="10" max="10" width="16.71"/>
    <col customWidth="1" min="11" max="11" width="15.71"/>
    <col customWidth="1" min="12" max="12" width="16.43"/>
    <col customWidth="1" min="13" max="13" width="18.29"/>
    <col customWidth="1" min="14" max="14" width="20.71"/>
    <col customWidth="1" min="15" max="15" width="25.0"/>
    <col customWidth="1" min="16" max="16" width="20.0"/>
    <col customWidth="1" min="17" max="17" width="11.29"/>
    <col customWidth="1" min="18" max="18" width="13.71"/>
    <col customWidth="1" min="19" max="20" width="8.71"/>
    <col customWidth="1" min="21" max="21" width="20.14"/>
    <col customWidth="1" min="22" max="22" width="20.0"/>
    <col customWidth="1" min="23" max="24" width="19.86"/>
    <col customWidth="1" min="25" max="25" width="21.71"/>
    <col customWidth="1" min="26" max="26" width="23.71"/>
    <col customWidth="1" min="27" max="27" width="9.14"/>
    <col customWidth="1" min="28" max="28" width="27.57"/>
    <col customWidth="1" min="29" max="29" width="28.86"/>
    <col customWidth="1" min="30" max="30" width="25.0"/>
    <col customWidth="1" min="31" max="33" width="36.29"/>
    <col customWidth="1" min="34" max="34" width="17.14"/>
    <col customWidth="1" min="35" max="35" width="30.86"/>
    <col customWidth="1" min="36" max="36" width="14.86"/>
  </cols>
  <sheetData>
    <row r="1">
      <c r="A1" s="16" t="s">
        <v>9</v>
      </c>
      <c r="B1" s="45" t="s">
        <v>847</v>
      </c>
    </row>
    <row r="2">
      <c r="A2" s="16" t="s">
        <v>10</v>
      </c>
      <c r="B2" s="17" t="s">
        <v>848</v>
      </c>
    </row>
    <row r="3">
      <c r="A3" s="46" t="s">
        <v>12</v>
      </c>
      <c r="B3" s="17" t="s">
        <v>848</v>
      </c>
      <c r="D3" s="20" t="s">
        <v>13</v>
      </c>
      <c r="E3" s="21"/>
      <c r="F3" s="21"/>
      <c r="G3" s="21"/>
      <c r="H3" s="21"/>
      <c r="I3" s="5"/>
      <c r="J3" s="22" t="s">
        <v>14</v>
      </c>
      <c r="K3" s="21"/>
      <c r="L3" s="21"/>
      <c r="M3" s="21"/>
      <c r="N3" s="21"/>
      <c r="O3" s="5"/>
      <c r="P3" s="20" t="s">
        <v>15</v>
      </c>
      <c r="Q3" s="21"/>
      <c r="R3" s="21"/>
      <c r="S3" s="21"/>
      <c r="T3" s="21"/>
      <c r="U3" s="5"/>
      <c r="V3" s="23" t="s">
        <v>16</v>
      </c>
      <c r="W3" s="21"/>
      <c r="X3" s="21"/>
      <c r="Y3" s="21"/>
      <c r="Z3" s="21"/>
      <c r="AA3" s="5"/>
    </row>
    <row r="4" ht="21.75" customHeight="1">
      <c r="B4" s="24" t="s">
        <v>17</v>
      </c>
      <c r="C4" s="25"/>
      <c r="D4" s="26" t="s">
        <v>18</v>
      </c>
      <c r="E4" s="27"/>
      <c r="F4" s="28"/>
      <c r="G4" s="29" t="s">
        <v>19</v>
      </c>
      <c r="H4" s="27"/>
      <c r="I4" s="28"/>
      <c r="J4" s="26" t="s">
        <v>18</v>
      </c>
      <c r="K4" s="27"/>
      <c r="L4" s="28"/>
      <c r="M4" s="29" t="s">
        <v>19</v>
      </c>
      <c r="N4" s="27"/>
      <c r="O4" s="28"/>
      <c r="P4" s="26" t="s">
        <v>18</v>
      </c>
      <c r="Q4" s="27"/>
      <c r="R4" s="28"/>
      <c r="S4" s="29" t="s">
        <v>19</v>
      </c>
      <c r="T4" s="27"/>
      <c r="U4" s="28"/>
      <c r="V4" s="26" t="s">
        <v>18</v>
      </c>
      <c r="W4" s="27"/>
      <c r="X4" s="28"/>
      <c r="Y4" s="29" t="s">
        <v>19</v>
      </c>
      <c r="Z4" s="27"/>
      <c r="AA4" s="28"/>
      <c r="AB4" s="47"/>
      <c r="AC4" s="48"/>
      <c r="AD4" s="49"/>
      <c r="AE4" s="48"/>
      <c r="AF4" s="48"/>
      <c r="AG4" s="48"/>
      <c r="AH4" s="50"/>
      <c r="AI4" s="50"/>
      <c r="AJ4" s="51"/>
    </row>
    <row r="5" ht="18.75" customHeight="1">
      <c r="A5" s="30" t="s">
        <v>20</v>
      </c>
      <c r="B5" s="31" t="s">
        <v>21</v>
      </c>
      <c r="C5" s="32" t="s">
        <v>22</v>
      </c>
      <c r="D5" s="33" t="s">
        <v>23</v>
      </c>
      <c r="E5" s="33" t="s">
        <v>24</v>
      </c>
      <c r="F5" s="33" t="s">
        <v>26</v>
      </c>
      <c r="G5" s="35" t="s">
        <v>23</v>
      </c>
      <c r="H5" s="35" t="s">
        <v>24</v>
      </c>
      <c r="I5" s="35" t="s">
        <v>26</v>
      </c>
      <c r="J5" s="33" t="s">
        <v>23</v>
      </c>
      <c r="K5" s="33" t="s">
        <v>24</v>
      </c>
      <c r="L5" s="33" t="s">
        <v>26</v>
      </c>
      <c r="M5" s="35" t="s">
        <v>23</v>
      </c>
      <c r="N5" s="35" t="s">
        <v>24</v>
      </c>
      <c r="O5" s="35" t="s">
        <v>26</v>
      </c>
      <c r="P5" s="33" t="s">
        <v>23</v>
      </c>
      <c r="Q5" s="33" t="s">
        <v>24</v>
      </c>
      <c r="R5" s="33" t="s">
        <v>26</v>
      </c>
      <c r="S5" s="35" t="s">
        <v>23</v>
      </c>
      <c r="T5" s="35" t="s">
        <v>24</v>
      </c>
      <c r="U5" s="35" t="s">
        <v>26</v>
      </c>
      <c r="V5" s="33" t="s">
        <v>23</v>
      </c>
      <c r="W5" s="33" t="s">
        <v>24</v>
      </c>
      <c r="X5" s="33" t="s">
        <v>26</v>
      </c>
      <c r="Y5" s="35" t="s">
        <v>23</v>
      </c>
      <c r="Z5" s="35" t="s">
        <v>24</v>
      </c>
      <c r="AA5" s="35" t="s">
        <v>26</v>
      </c>
      <c r="AB5" s="52"/>
      <c r="AC5" s="52"/>
      <c r="AD5" s="52"/>
      <c r="AE5" s="52"/>
      <c r="AF5" s="52"/>
      <c r="AG5" s="52"/>
      <c r="AH5" s="53"/>
      <c r="AI5" s="53"/>
      <c r="AJ5" s="53"/>
    </row>
    <row r="6">
      <c r="A6" s="36">
        <f t="shared" ref="A6:A55" si="1">ROW(A1)</f>
        <v>1</v>
      </c>
      <c r="B6" s="17" t="s">
        <v>848</v>
      </c>
      <c r="C6" s="17" t="s">
        <v>848</v>
      </c>
      <c r="D6" s="60"/>
      <c r="E6" s="61"/>
      <c r="F6" s="62"/>
      <c r="G6" s="63"/>
      <c r="H6" s="64"/>
      <c r="I6" s="64"/>
      <c r="J6" s="60"/>
      <c r="K6" s="61"/>
      <c r="L6" s="62"/>
      <c r="M6" s="63"/>
      <c r="N6" s="64"/>
      <c r="O6" s="64"/>
      <c r="P6" s="60"/>
      <c r="Q6" s="61"/>
      <c r="R6" s="62"/>
      <c r="S6" s="63"/>
      <c r="T6" s="64"/>
      <c r="U6" s="64"/>
      <c r="V6" s="60"/>
      <c r="W6" s="61"/>
      <c r="X6" s="62"/>
      <c r="Y6" s="63"/>
      <c r="Z6" s="64"/>
      <c r="AA6" s="64"/>
      <c r="AB6" s="53"/>
      <c r="AC6" s="53"/>
      <c r="AD6" s="53"/>
      <c r="AE6" s="56"/>
      <c r="AF6" s="56"/>
      <c r="AG6" s="56"/>
      <c r="AH6" s="57"/>
      <c r="AI6" s="57"/>
      <c r="AJ6" s="57"/>
    </row>
    <row r="7">
      <c r="A7" s="36">
        <f t="shared" si="1"/>
        <v>2</v>
      </c>
      <c r="B7" s="17" t="s">
        <v>848</v>
      </c>
      <c r="C7" s="17" t="s">
        <v>849</v>
      </c>
      <c r="D7" s="60"/>
      <c r="E7" s="61"/>
      <c r="F7" s="62"/>
      <c r="G7" s="63"/>
      <c r="H7" s="64"/>
      <c r="I7" s="64"/>
      <c r="J7" s="60"/>
      <c r="K7" s="61"/>
      <c r="L7" s="62"/>
      <c r="M7" s="63"/>
      <c r="N7" s="64"/>
      <c r="O7" s="64"/>
      <c r="P7" s="60"/>
      <c r="Q7" s="61"/>
      <c r="R7" s="62"/>
      <c r="S7" s="63"/>
      <c r="T7" s="64"/>
      <c r="U7" s="64"/>
      <c r="V7" s="60"/>
      <c r="W7" s="61"/>
      <c r="X7" s="62"/>
      <c r="Y7" s="63"/>
      <c r="Z7" s="64"/>
      <c r="AA7" s="64"/>
      <c r="AB7" s="53"/>
      <c r="AC7" s="53"/>
      <c r="AD7" s="53"/>
      <c r="AE7" s="58"/>
      <c r="AF7" s="58"/>
      <c r="AG7" s="58"/>
      <c r="AH7" s="57"/>
      <c r="AI7" s="57"/>
      <c r="AJ7" s="57"/>
    </row>
    <row r="8">
      <c r="A8" s="36">
        <f t="shared" si="1"/>
        <v>3</v>
      </c>
      <c r="B8" s="17" t="s">
        <v>848</v>
      </c>
      <c r="C8" s="17" t="s">
        <v>850</v>
      </c>
      <c r="D8" s="60"/>
      <c r="E8" s="61"/>
      <c r="F8" s="62"/>
      <c r="G8" s="63"/>
      <c r="H8" s="64"/>
      <c r="I8" s="64"/>
      <c r="J8" s="60"/>
      <c r="K8" s="61"/>
      <c r="L8" s="62"/>
      <c r="M8" s="63"/>
      <c r="N8" s="64"/>
      <c r="O8" s="64"/>
      <c r="P8" s="60"/>
      <c r="Q8" s="61"/>
      <c r="R8" s="62"/>
      <c r="S8" s="63"/>
      <c r="T8" s="64"/>
      <c r="U8" s="64"/>
      <c r="V8" s="60"/>
      <c r="W8" s="61"/>
      <c r="X8" s="62"/>
      <c r="Y8" s="63"/>
      <c r="Z8" s="64"/>
      <c r="AA8" s="64"/>
      <c r="AB8" s="53"/>
      <c r="AC8" s="53"/>
      <c r="AD8" s="53"/>
      <c r="AE8" s="58"/>
      <c r="AF8" s="58"/>
      <c r="AG8" s="58"/>
      <c r="AH8" s="57"/>
      <c r="AI8" s="57"/>
      <c r="AJ8" s="57"/>
    </row>
    <row r="9">
      <c r="A9" s="36">
        <f t="shared" si="1"/>
        <v>4</v>
      </c>
      <c r="B9" s="17" t="s">
        <v>848</v>
      </c>
      <c r="C9" s="17" t="s">
        <v>851</v>
      </c>
      <c r="D9" s="60"/>
      <c r="E9" s="61"/>
      <c r="F9" s="62"/>
      <c r="G9" s="63"/>
      <c r="H9" s="64"/>
      <c r="I9" s="64"/>
      <c r="J9" s="60"/>
      <c r="K9" s="61"/>
      <c r="L9" s="62"/>
      <c r="M9" s="63"/>
      <c r="N9" s="64"/>
      <c r="O9" s="64"/>
      <c r="P9" s="60"/>
      <c r="Q9" s="61"/>
      <c r="R9" s="62"/>
      <c r="S9" s="63"/>
      <c r="T9" s="64"/>
      <c r="U9" s="64"/>
      <c r="V9" s="60"/>
      <c r="W9" s="61"/>
      <c r="X9" s="62"/>
      <c r="Y9" s="63"/>
      <c r="Z9" s="64"/>
      <c r="AA9" s="64"/>
      <c r="AB9" s="53"/>
      <c r="AC9" s="53"/>
      <c r="AD9" s="53"/>
      <c r="AE9" s="58"/>
      <c r="AF9" s="58"/>
      <c r="AG9" s="58"/>
      <c r="AH9" s="57"/>
      <c r="AI9" s="57"/>
      <c r="AJ9" s="57"/>
    </row>
    <row r="10">
      <c r="A10" s="36">
        <f t="shared" si="1"/>
        <v>5</v>
      </c>
      <c r="B10" s="17" t="s">
        <v>848</v>
      </c>
      <c r="C10" s="17" t="s">
        <v>852</v>
      </c>
      <c r="D10" s="60"/>
      <c r="E10" s="61"/>
      <c r="F10" s="62"/>
      <c r="G10" s="63"/>
      <c r="H10" s="64"/>
      <c r="I10" s="64"/>
      <c r="J10" s="60"/>
      <c r="K10" s="61"/>
      <c r="L10" s="62"/>
      <c r="M10" s="63"/>
      <c r="N10" s="64"/>
      <c r="O10" s="64"/>
      <c r="P10" s="60"/>
      <c r="Q10" s="61"/>
      <c r="R10" s="62"/>
      <c r="S10" s="63"/>
      <c r="T10" s="64"/>
      <c r="U10" s="64"/>
      <c r="V10" s="60"/>
      <c r="W10" s="61"/>
      <c r="X10" s="62"/>
      <c r="Y10" s="63"/>
      <c r="Z10" s="64"/>
      <c r="AA10" s="64"/>
      <c r="AB10" s="53"/>
      <c r="AC10" s="53"/>
      <c r="AD10" s="53"/>
      <c r="AE10" s="58"/>
      <c r="AF10" s="58"/>
      <c r="AG10" s="58"/>
      <c r="AH10" s="57"/>
      <c r="AI10" s="57"/>
      <c r="AJ10" s="57"/>
    </row>
    <row r="11">
      <c r="A11" s="36">
        <f t="shared" si="1"/>
        <v>6</v>
      </c>
      <c r="B11" s="17" t="s">
        <v>848</v>
      </c>
      <c r="C11" s="17" t="s">
        <v>853</v>
      </c>
      <c r="D11" s="60"/>
      <c r="E11" s="61"/>
      <c r="F11" s="62"/>
      <c r="G11" s="63"/>
      <c r="H11" s="64"/>
      <c r="I11" s="64"/>
      <c r="J11" s="60"/>
      <c r="K11" s="61"/>
      <c r="L11" s="62"/>
      <c r="M11" s="63"/>
      <c r="N11" s="64"/>
      <c r="O11" s="64"/>
      <c r="P11" s="60"/>
      <c r="Q11" s="61"/>
      <c r="R11" s="62"/>
      <c r="S11" s="63"/>
      <c r="T11" s="64"/>
      <c r="U11" s="64"/>
      <c r="V11" s="60"/>
      <c r="W11" s="61"/>
      <c r="X11" s="62"/>
      <c r="Y11" s="63"/>
      <c r="Z11" s="64"/>
      <c r="AA11" s="64"/>
      <c r="AB11" s="53"/>
      <c r="AC11" s="53"/>
      <c r="AD11" s="53"/>
      <c r="AE11" s="58"/>
      <c r="AF11" s="58"/>
      <c r="AG11" s="58"/>
      <c r="AH11" s="57"/>
      <c r="AI11" s="57"/>
      <c r="AJ11" s="57"/>
    </row>
    <row r="12">
      <c r="A12" s="36">
        <f t="shared" si="1"/>
        <v>7</v>
      </c>
      <c r="B12" s="17" t="s">
        <v>848</v>
      </c>
      <c r="C12" s="17" t="s">
        <v>854</v>
      </c>
      <c r="D12" s="60"/>
      <c r="E12" s="61"/>
      <c r="F12" s="62"/>
      <c r="G12" s="63"/>
      <c r="H12" s="64"/>
      <c r="I12" s="64"/>
      <c r="J12" s="60"/>
      <c r="K12" s="61"/>
      <c r="L12" s="62"/>
      <c r="M12" s="63"/>
      <c r="N12" s="64"/>
      <c r="O12" s="64"/>
      <c r="P12" s="60"/>
      <c r="Q12" s="61"/>
      <c r="R12" s="62"/>
      <c r="S12" s="63"/>
      <c r="T12" s="64"/>
      <c r="U12" s="64"/>
      <c r="V12" s="60"/>
      <c r="W12" s="61"/>
      <c r="X12" s="62"/>
      <c r="Y12" s="63"/>
      <c r="Z12" s="64"/>
      <c r="AA12" s="64"/>
      <c r="AB12" s="53"/>
      <c r="AC12" s="53"/>
      <c r="AD12" s="53"/>
      <c r="AE12" s="58"/>
      <c r="AF12" s="58"/>
      <c r="AG12" s="58"/>
      <c r="AH12" s="57"/>
      <c r="AI12" s="57"/>
      <c r="AJ12" s="57"/>
    </row>
    <row r="13">
      <c r="A13" s="36">
        <f t="shared" si="1"/>
        <v>8</v>
      </c>
      <c r="B13" s="17" t="s">
        <v>849</v>
      </c>
      <c r="C13" s="17" t="s">
        <v>848</v>
      </c>
      <c r="D13" s="60"/>
      <c r="E13" s="61"/>
      <c r="F13" s="62"/>
      <c r="G13" s="63"/>
      <c r="H13" s="64"/>
      <c r="I13" s="64"/>
      <c r="J13" s="60"/>
      <c r="K13" s="61"/>
      <c r="L13" s="62"/>
      <c r="M13" s="63"/>
      <c r="N13" s="64"/>
      <c r="O13" s="64"/>
      <c r="P13" s="60"/>
      <c r="Q13" s="61"/>
      <c r="R13" s="62"/>
      <c r="S13" s="63"/>
      <c r="T13" s="64"/>
      <c r="U13" s="64"/>
      <c r="V13" s="60"/>
      <c r="W13" s="61"/>
      <c r="X13" s="62"/>
      <c r="Y13" s="63"/>
      <c r="Z13" s="64"/>
      <c r="AA13" s="64"/>
      <c r="AB13" s="53"/>
      <c r="AC13" s="53"/>
      <c r="AD13" s="53"/>
      <c r="AE13" s="58"/>
      <c r="AF13" s="58"/>
      <c r="AG13" s="58"/>
      <c r="AH13" s="57"/>
      <c r="AI13" s="57"/>
      <c r="AJ13" s="57"/>
    </row>
    <row r="14">
      <c r="A14" s="36">
        <f t="shared" si="1"/>
        <v>9</v>
      </c>
      <c r="B14" s="17" t="s">
        <v>849</v>
      </c>
      <c r="C14" s="17" t="s">
        <v>849</v>
      </c>
      <c r="D14" s="60"/>
      <c r="E14" s="61"/>
      <c r="F14" s="62"/>
      <c r="G14" s="63"/>
      <c r="H14" s="64"/>
      <c r="I14" s="64"/>
      <c r="J14" s="60"/>
      <c r="K14" s="61"/>
      <c r="L14" s="62"/>
      <c r="M14" s="63"/>
      <c r="N14" s="64"/>
      <c r="O14" s="64"/>
      <c r="P14" s="60"/>
      <c r="Q14" s="61"/>
      <c r="R14" s="62"/>
      <c r="S14" s="63"/>
      <c r="T14" s="64"/>
      <c r="U14" s="64"/>
      <c r="V14" s="60"/>
      <c r="W14" s="61"/>
      <c r="X14" s="62"/>
      <c r="Y14" s="63"/>
      <c r="Z14" s="64"/>
      <c r="AA14" s="64"/>
      <c r="AB14" s="53"/>
      <c r="AC14" s="53"/>
      <c r="AD14" s="53"/>
      <c r="AE14" s="58"/>
      <c r="AF14" s="58"/>
      <c r="AG14" s="58"/>
      <c r="AH14" s="57"/>
      <c r="AI14" s="57"/>
      <c r="AJ14" s="57"/>
    </row>
    <row r="15">
      <c r="A15" s="36">
        <f t="shared" si="1"/>
        <v>10</v>
      </c>
      <c r="B15" s="17" t="s">
        <v>849</v>
      </c>
      <c r="C15" s="17" t="s">
        <v>850</v>
      </c>
      <c r="D15" s="60"/>
      <c r="E15" s="61"/>
      <c r="F15" s="62"/>
      <c r="G15" s="63"/>
      <c r="H15" s="64"/>
      <c r="I15" s="64"/>
      <c r="J15" s="60"/>
      <c r="K15" s="61"/>
      <c r="L15" s="62"/>
      <c r="M15" s="63"/>
      <c r="N15" s="64"/>
      <c r="O15" s="64"/>
      <c r="P15" s="60"/>
      <c r="Q15" s="61"/>
      <c r="R15" s="62"/>
      <c r="S15" s="63"/>
      <c r="T15" s="64"/>
      <c r="U15" s="64"/>
      <c r="V15" s="60"/>
      <c r="W15" s="61"/>
      <c r="X15" s="62"/>
      <c r="Y15" s="63"/>
      <c r="Z15" s="64"/>
      <c r="AA15" s="64"/>
      <c r="AB15" s="53"/>
      <c r="AC15" s="53"/>
      <c r="AD15" s="53"/>
      <c r="AE15" s="58"/>
      <c r="AF15" s="58"/>
      <c r="AG15" s="58"/>
      <c r="AH15" s="57"/>
      <c r="AI15" s="57"/>
      <c r="AJ15" s="57"/>
    </row>
    <row r="16">
      <c r="A16" s="36">
        <f t="shared" si="1"/>
        <v>11</v>
      </c>
      <c r="B16" s="17" t="s">
        <v>849</v>
      </c>
      <c r="C16" s="17" t="s">
        <v>851</v>
      </c>
      <c r="D16" s="60"/>
      <c r="E16" s="61"/>
      <c r="F16" s="62"/>
      <c r="G16" s="63"/>
      <c r="H16" s="64"/>
      <c r="I16" s="64"/>
      <c r="J16" s="60"/>
      <c r="K16" s="61"/>
      <c r="L16" s="62"/>
      <c r="M16" s="63"/>
      <c r="N16" s="64"/>
      <c r="O16" s="64"/>
      <c r="P16" s="60"/>
      <c r="Q16" s="61"/>
      <c r="R16" s="62"/>
      <c r="S16" s="63"/>
      <c r="T16" s="64"/>
      <c r="U16" s="64"/>
      <c r="V16" s="60"/>
      <c r="W16" s="61"/>
      <c r="X16" s="62"/>
      <c r="Y16" s="63"/>
      <c r="Z16" s="64"/>
      <c r="AA16" s="64"/>
      <c r="AB16" s="53"/>
      <c r="AC16" s="53"/>
      <c r="AD16" s="53"/>
      <c r="AE16" s="58"/>
      <c r="AF16" s="58"/>
      <c r="AG16" s="58"/>
      <c r="AH16" s="57"/>
      <c r="AI16" s="57"/>
      <c r="AJ16" s="57"/>
    </row>
    <row r="17">
      <c r="A17" s="36">
        <f t="shared" si="1"/>
        <v>12</v>
      </c>
      <c r="B17" s="17" t="s">
        <v>849</v>
      </c>
      <c r="C17" s="17" t="s">
        <v>852</v>
      </c>
      <c r="D17" s="60"/>
      <c r="E17" s="61"/>
      <c r="F17" s="62"/>
      <c r="G17" s="63"/>
      <c r="H17" s="64"/>
      <c r="I17" s="64"/>
      <c r="J17" s="60"/>
      <c r="K17" s="61"/>
      <c r="L17" s="62"/>
      <c r="M17" s="63"/>
      <c r="N17" s="64"/>
      <c r="O17" s="64"/>
      <c r="P17" s="60"/>
      <c r="Q17" s="61"/>
      <c r="R17" s="62"/>
      <c r="S17" s="63"/>
      <c r="T17" s="64"/>
      <c r="U17" s="64"/>
      <c r="V17" s="60"/>
      <c r="W17" s="61"/>
      <c r="X17" s="62"/>
      <c r="Y17" s="63"/>
      <c r="Z17" s="64"/>
      <c r="AA17" s="64"/>
      <c r="AB17" s="53"/>
      <c r="AC17" s="53"/>
      <c r="AD17" s="53"/>
      <c r="AE17" s="58"/>
      <c r="AF17" s="58"/>
      <c r="AG17" s="58"/>
      <c r="AH17" s="57"/>
      <c r="AI17" s="57"/>
      <c r="AJ17" s="57"/>
    </row>
    <row r="18">
      <c r="A18" s="36">
        <f t="shared" si="1"/>
        <v>13</v>
      </c>
      <c r="B18" s="17" t="s">
        <v>849</v>
      </c>
      <c r="C18" s="17" t="s">
        <v>853</v>
      </c>
      <c r="D18" s="60"/>
      <c r="E18" s="61"/>
      <c r="F18" s="62"/>
      <c r="G18" s="63"/>
      <c r="H18" s="64"/>
      <c r="I18" s="64"/>
      <c r="J18" s="60"/>
      <c r="K18" s="61"/>
      <c r="L18" s="62"/>
      <c r="M18" s="63"/>
      <c r="N18" s="64"/>
      <c r="O18" s="64"/>
      <c r="P18" s="60"/>
      <c r="Q18" s="61"/>
      <c r="R18" s="62"/>
      <c r="S18" s="63"/>
      <c r="T18" s="64"/>
      <c r="U18" s="64"/>
      <c r="V18" s="60"/>
      <c r="W18" s="61"/>
      <c r="X18" s="62"/>
      <c r="Y18" s="63"/>
      <c r="Z18" s="64"/>
      <c r="AA18" s="64"/>
      <c r="AB18" s="53"/>
      <c r="AC18" s="53"/>
      <c r="AD18" s="53"/>
      <c r="AE18" s="58"/>
      <c r="AF18" s="58"/>
      <c r="AG18" s="58"/>
      <c r="AH18" s="57"/>
      <c r="AI18" s="57"/>
      <c r="AJ18" s="57"/>
    </row>
    <row r="19">
      <c r="A19" s="36">
        <f t="shared" si="1"/>
        <v>14</v>
      </c>
      <c r="B19" s="17" t="s">
        <v>849</v>
      </c>
      <c r="C19" s="17" t="s">
        <v>854</v>
      </c>
      <c r="D19" s="60"/>
      <c r="E19" s="61"/>
      <c r="F19" s="62"/>
      <c r="G19" s="63"/>
      <c r="H19" s="64"/>
      <c r="I19" s="64"/>
      <c r="J19" s="60"/>
      <c r="K19" s="61"/>
      <c r="L19" s="62"/>
      <c r="M19" s="63"/>
      <c r="N19" s="64"/>
      <c r="O19" s="64"/>
      <c r="P19" s="60"/>
      <c r="Q19" s="61"/>
      <c r="R19" s="62"/>
      <c r="S19" s="63"/>
      <c r="T19" s="64"/>
      <c r="U19" s="64"/>
      <c r="V19" s="60"/>
      <c r="W19" s="61"/>
      <c r="X19" s="62"/>
      <c r="Y19" s="63"/>
      <c r="Z19" s="64"/>
      <c r="AA19" s="64"/>
      <c r="AB19" s="53"/>
      <c r="AC19" s="53"/>
      <c r="AD19" s="53"/>
      <c r="AE19" s="58"/>
      <c r="AF19" s="58"/>
      <c r="AG19" s="58"/>
      <c r="AH19" s="57"/>
      <c r="AI19" s="57"/>
      <c r="AJ19" s="57"/>
    </row>
    <row r="20">
      <c r="A20" s="36">
        <f t="shared" si="1"/>
        <v>15</v>
      </c>
      <c r="B20" s="17" t="s">
        <v>850</v>
      </c>
      <c r="C20" s="17" t="s">
        <v>848</v>
      </c>
      <c r="D20" s="60"/>
      <c r="E20" s="61"/>
      <c r="F20" s="62"/>
      <c r="G20" s="63"/>
      <c r="H20" s="64"/>
      <c r="I20" s="64"/>
      <c r="J20" s="60"/>
      <c r="K20" s="61"/>
      <c r="L20" s="62"/>
      <c r="M20" s="63"/>
      <c r="N20" s="64"/>
      <c r="O20" s="64"/>
      <c r="P20" s="60"/>
      <c r="Q20" s="61"/>
      <c r="R20" s="62"/>
      <c r="S20" s="63"/>
      <c r="T20" s="64"/>
      <c r="U20" s="64"/>
      <c r="V20" s="60"/>
      <c r="W20" s="61"/>
      <c r="X20" s="62"/>
      <c r="Y20" s="63"/>
      <c r="Z20" s="64"/>
      <c r="AA20" s="64"/>
      <c r="AB20" s="53"/>
      <c r="AC20" s="53"/>
      <c r="AD20" s="53"/>
      <c r="AE20" s="58"/>
      <c r="AF20" s="58"/>
      <c r="AG20" s="58"/>
      <c r="AH20" s="57"/>
      <c r="AI20" s="57"/>
      <c r="AJ20" s="57"/>
    </row>
    <row r="21" ht="15.75" customHeight="1">
      <c r="A21" s="36">
        <f t="shared" si="1"/>
        <v>16</v>
      </c>
      <c r="B21" s="17" t="s">
        <v>850</v>
      </c>
      <c r="C21" s="17" t="s">
        <v>849</v>
      </c>
      <c r="D21" s="60"/>
      <c r="E21" s="61"/>
      <c r="F21" s="62"/>
      <c r="G21" s="63"/>
      <c r="H21" s="64"/>
      <c r="I21" s="64"/>
      <c r="J21" s="60"/>
      <c r="K21" s="61"/>
      <c r="L21" s="62"/>
      <c r="M21" s="63"/>
      <c r="N21" s="64"/>
      <c r="O21" s="64"/>
      <c r="P21" s="60"/>
      <c r="Q21" s="61"/>
      <c r="R21" s="62"/>
      <c r="S21" s="63"/>
      <c r="T21" s="64"/>
      <c r="U21" s="64"/>
      <c r="V21" s="60"/>
      <c r="W21" s="61"/>
      <c r="X21" s="62"/>
      <c r="Y21" s="63"/>
      <c r="Z21" s="64"/>
      <c r="AA21" s="64"/>
      <c r="AB21" s="53"/>
      <c r="AC21" s="53"/>
      <c r="AD21" s="53"/>
      <c r="AE21" s="58"/>
      <c r="AF21" s="58"/>
      <c r="AG21" s="58"/>
      <c r="AH21" s="57"/>
      <c r="AI21" s="57"/>
      <c r="AJ21" s="57"/>
    </row>
    <row r="22" ht="15.75" customHeight="1">
      <c r="A22" s="36">
        <f t="shared" si="1"/>
        <v>17</v>
      </c>
      <c r="B22" s="17" t="s">
        <v>850</v>
      </c>
      <c r="C22" s="17" t="s">
        <v>850</v>
      </c>
      <c r="D22" s="60"/>
      <c r="E22" s="61"/>
      <c r="F22" s="62"/>
      <c r="G22" s="63"/>
      <c r="H22" s="64"/>
      <c r="I22" s="64"/>
      <c r="J22" s="60"/>
      <c r="K22" s="61"/>
      <c r="L22" s="62"/>
      <c r="M22" s="63"/>
      <c r="N22" s="64"/>
      <c r="O22" s="64"/>
      <c r="P22" s="60"/>
      <c r="Q22" s="61"/>
      <c r="R22" s="62"/>
      <c r="S22" s="63"/>
      <c r="T22" s="64"/>
      <c r="U22" s="64"/>
      <c r="V22" s="60"/>
      <c r="W22" s="61"/>
      <c r="X22" s="62"/>
      <c r="Y22" s="63"/>
      <c r="Z22" s="64"/>
      <c r="AA22" s="64"/>
      <c r="AB22" s="53"/>
      <c r="AC22" s="53"/>
      <c r="AD22" s="53"/>
      <c r="AE22" s="58"/>
      <c r="AF22" s="58"/>
      <c r="AG22" s="58"/>
      <c r="AH22" s="57"/>
      <c r="AI22" s="57"/>
      <c r="AJ22" s="57"/>
    </row>
    <row r="23" ht="15.75" customHeight="1">
      <c r="A23" s="36">
        <f t="shared" si="1"/>
        <v>18</v>
      </c>
      <c r="B23" s="17" t="s">
        <v>850</v>
      </c>
      <c r="C23" s="17" t="s">
        <v>851</v>
      </c>
      <c r="D23" s="60"/>
      <c r="E23" s="61"/>
      <c r="F23" s="62"/>
      <c r="G23" s="63"/>
      <c r="H23" s="64"/>
      <c r="I23" s="64"/>
      <c r="J23" s="60"/>
      <c r="K23" s="61"/>
      <c r="L23" s="62"/>
      <c r="M23" s="63"/>
      <c r="N23" s="64"/>
      <c r="O23" s="64"/>
      <c r="P23" s="60"/>
      <c r="Q23" s="61"/>
      <c r="R23" s="62"/>
      <c r="S23" s="63"/>
      <c r="T23" s="64"/>
      <c r="U23" s="64"/>
      <c r="V23" s="60"/>
      <c r="W23" s="61"/>
      <c r="X23" s="62"/>
      <c r="Y23" s="63"/>
      <c r="Z23" s="64"/>
      <c r="AA23" s="64"/>
      <c r="AB23" s="53"/>
      <c r="AC23" s="53"/>
      <c r="AD23" s="53"/>
      <c r="AE23" s="58"/>
      <c r="AF23" s="58"/>
      <c r="AG23" s="58"/>
      <c r="AH23" s="57"/>
      <c r="AI23" s="57"/>
      <c r="AJ23" s="57"/>
    </row>
    <row r="24" ht="15.75" customHeight="1">
      <c r="A24" s="36">
        <f t="shared" si="1"/>
        <v>19</v>
      </c>
      <c r="B24" s="17" t="s">
        <v>850</v>
      </c>
      <c r="C24" s="17" t="s">
        <v>852</v>
      </c>
      <c r="D24" s="60"/>
      <c r="E24" s="61"/>
      <c r="F24" s="62"/>
      <c r="G24" s="63"/>
      <c r="H24" s="64"/>
      <c r="I24" s="64"/>
      <c r="J24" s="60"/>
      <c r="K24" s="61"/>
      <c r="L24" s="62"/>
      <c r="M24" s="63"/>
      <c r="N24" s="64"/>
      <c r="O24" s="64"/>
      <c r="P24" s="60"/>
      <c r="Q24" s="61"/>
      <c r="R24" s="62"/>
      <c r="S24" s="63"/>
      <c r="T24" s="64"/>
      <c r="U24" s="64"/>
      <c r="V24" s="60"/>
      <c r="W24" s="61"/>
      <c r="X24" s="62"/>
      <c r="Y24" s="63"/>
      <c r="Z24" s="64"/>
      <c r="AA24" s="64"/>
      <c r="AB24" s="53"/>
      <c r="AC24" s="53"/>
      <c r="AD24" s="53"/>
      <c r="AE24" s="58"/>
      <c r="AF24" s="58"/>
      <c r="AG24" s="58"/>
      <c r="AH24" s="57"/>
      <c r="AI24" s="57"/>
      <c r="AJ24" s="57"/>
    </row>
    <row r="25" ht="15.75" customHeight="1">
      <c r="A25" s="36">
        <f t="shared" si="1"/>
        <v>20</v>
      </c>
      <c r="B25" s="17" t="s">
        <v>850</v>
      </c>
      <c r="C25" s="17" t="s">
        <v>853</v>
      </c>
      <c r="D25" s="60"/>
      <c r="E25" s="61"/>
      <c r="F25" s="62"/>
      <c r="G25" s="63"/>
      <c r="H25" s="64"/>
      <c r="I25" s="64"/>
      <c r="J25" s="60"/>
      <c r="K25" s="61"/>
      <c r="L25" s="62"/>
      <c r="M25" s="63"/>
      <c r="N25" s="64"/>
      <c r="O25" s="64"/>
      <c r="P25" s="60"/>
      <c r="Q25" s="61"/>
      <c r="R25" s="62"/>
      <c r="S25" s="63"/>
      <c r="T25" s="64"/>
      <c r="U25" s="64"/>
      <c r="V25" s="60"/>
      <c r="W25" s="61"/>
      <c r="X25" s="62"/>
      <c r="Y25" s="63"/>
      <c r="Z25" s="64"/>
      <c r="AA25" s="64"/>
      <c r="AB25" s="53"/>
      <c r="AC25" s="53"/>
      <c r="AD25" s="53"/>
      <c r="AE25" s="58"/>
      <c r="AF25" s="58"/>
      <c r="AG25" s="58"/>
      <c r="AH25" s="57"/>
      <c r="AI25" s="57"/>
      <c r="AJ25" s="57"/>
    </row>
    <row r="26" ht="15.75" customHeight="1">
      <c r="A26" s="36">
        <f t="shared" si="1"/>
        <v>21</v>
      </c>
      <c r="B26" s="17" t="s">
        <v>850</v>
      </c>
      <c r="C26" s="17" t="s">
        <v>854</v>
      </c>
      <c r="D26" s="60"/>
      <c r="E26" s="61"/>
      <c r="F26" s="62"/>
      <c r="G26" s="63"/>
      <c r="H26" s="64"/>
      <c r="I26" s="64"/>
      <c r="J26" s="60"/>
      <c r="K26" s="61"/>
      <c r="L26" s="62"/>
      <c r="M26" s="63"/>
      <c r="N26" s="64"/>
      <c r="O26" s="64"/>
      <c r="P26" s="60"/>
      <c r="Q26" s="61"/>
      <c r="R26" s="62"/>
      <c r="S26" s="63"/>
      <c r="T26" s="64"/>
      <c r="U26" s="64"/>
      <c r="V26" s="60"/>
      <c r="W26" s="61"/>
      <c r="X26" s="62"/>
      <c r="Y26" s="63"/>
      <c r="Z26" s="64"/>
      <c r="AA26" s="64"/>
      <c r="AB26" s="53"/>
      <c r="AC26" s="53"/>
      <c r="AD26" s="53"/>
      <c r="AE26" s="58"/>
      <c r="AF26" s="58"/>
      <c r="AG26" s="58"/>
      <c r="AH26" s="57"/>
      <c r="AI26" s="57"/>
      <c r="AJ26" s="57"/>
    </row>
    <row r="27" ht="15.75" customHeight="1">
      <c r="A27" s="36">
        <f t="shared" si="1"/>
        <v>22</v>
      </c>
      <c r="B27" s="17" t="s">
        <v>851</v>
      </c>
      <c r="C27" s="17" t="s">
        <v>848</v>
      </c>
      <c r="D27" s="60"/>
      <c r="E27" s="61"/>
      <c r="F27" s="62"/>
      <c r="G27" s="63"/>
      <c r="H27" s="64"/>
      <c r="I27" s="64"/>
      <c r="J27" s="60"/>
      <c r="K27" s="61"/>
      <c r="L27" s="62"/>
      <c r="M27" s="63"/>
      <c r="N27" s="64"/>
      <c r="O27" s="64"/>
      <c r="P27" s="60"/>
      <c r="Q27" s="61"/>
      <c r="R27" s="62"/>
      <c r="S27" s="63"/>
      <c r="T27" s="64"/>
      <c r="U27" s="64"/>
      <c r="V27" s="60"/>
      <c r="W27" s="61"/>
      <c r="X27" s="62"/>
      <c r="Y27" s="63"/>
      <c r="Z27" s="64"/>
      <c r="AA27" s="64"/>
      <c r="AB27" s="53"/>
      <c r="AC27" s="53"/>
      <c r="AD27" s="53"/>
      <c r="AE27" s="58"/>
      <c r="AF27" s="58"/>
      <c r="AG27" s="58"/>
      <c r="AH27" s="57"/>
      <c r="AI27" s="57"/>
      <c r="AJ27" s="57"/>
    </row>
    <row r="28" ht="15.75" customHeight="1">
      <c r="A28" s="36">
        <f t="shared" si="1"/>
        <v>23</v>
      </c>
      <c r="B28" s="17" t="s">
        <v>851</v>
      </c>
      <c r="C28" s="17" t="s">
        <v>849</v>
      </c>
      <c r="D28" s="60"/>
      <c r="E28" s="61"/>
      <c r="F28" s="62"/>
      <c r="G28" s="63"/>
      <c r="H28" s="64"/>
      <c r="I28" s="64"/>
      <c r="J28" s="60"/>
      <c r="K28" s="61"/>
      <c r="L28" s="62"/>
      <c r="M28" s="63"/>
      <c r="N28" s="64"/>
      <c r="O28" s="64"/>
      <c r="P28" s="60"/>
      <c r="Q28" s="61"/>
      <c r="R28" s="62"/>
      <c r="S28" s="63"/>
      <c r="T28" s="64"/>
      <c r="U28" s="64"/>
      <c r="V28" s="60"/>
      <c r="W28" s="61"/>
      <c r="X28" s="62"/>
      <c r="Y28" s="63"/>
      <c r="Z28" s="64"/>
      <c r="AA28" s="64"/>
      <c r="AB28" s="53"/>
      <c r="AC28" s="53"/>
      <c r="AD28" s="53"/>
      <c r="AE28" s="58"/>
      <c r="AF28" s="58"/>
      <c r="AG28" s="58"/>
      <c r="AH28" s="57"/>
      <c r="AI28" s="57"/>
      <c r="AJ28" s="57"/>
    </row>
    <row r="29" ht="15.75" customHeight="1">
      <c r="A29" s="36">
        <f t="shared" si="1"/>
        <v>24</v>
      </c>
      <c r="B29" s="17" t="s">
        <v>851</v>
      </c>
      <c r="C29" s="17" t="s">
        <v>850</v>
      </c>
      <c r="D29" s="60"/>
      <c r="E29" s="61"/>
      <c r="F29" s="62"/>
      <c r="G29" s="63"/>
      <c r="H29" s="64"/>
      <c r="I29" s="64"/>
      <c r="J29" s="60"/>
      <c r="K29" s="61"/>
      <c r="L29" s="62"/>
      <c r="M29" s="63"/>
      <c r="N29" s="64"/>
      <c r="O29" s="64"/>
      <c r="P29" s="60"/>
      <c r="Q29" s="61"/>
      <c r="R29" s="62"/>
      <c r="S29" s="63"/>
      <c r="T29" s="64"/>
      <c r="U29" s="64"/>
      <c r="V29" s="60"/>
      <c r="W29" s="61"/>
      <c r="X29" s="62"/>
      <c r="Y29" s="63"/>
      <c r="Z29" s="64"/>
      <c r="AA29" s="64"/>
      <c r="AB29" s="53"/>
      <c r="AC29" s="53"/>
      <c r="AD29" s="53"/>
      <c r="AE29" s="58"/>
      <c r="AF29" s="58"/>
      <c r="AG29" s="58"/>
      <c r="AH29" s="57"/>
      <c r="AI29" s="57"/>
      <c r="AJ29" s="57"/>
    </row>
    <row r="30" ht="15.75" customHeight="1">
      <c r="A30" s="36">
        <f t="shared" si="1"/>
        <v>25</v>
      </c>
      <c r="B30" s="17" t="s">
        <v>851</v>
      </c>
      <c r="C30" s="17" t="s">
        <v>851</v>
      </c>
      <c r="D30" s="60"/>
      <c r="E30" s="61"/>
      <c r="F30" s="62"/>
      <c r="G30" s="63"/>
      <c r="H30" s="64"/>
      <c r="I30" s="64"/>
      <c r="J30" s="60"/>
      <c r="K30" s="61"/>
      <c r="L30" s="62"/>
      <c r="M30" s="63"/>
      <c r="N30" s="64"/>
      <c r="O30" s="64"/>
      <c r="P30" s="60"/>
      <c r="Q30" s="61"/>
      <c r="R30" s="62"/>
      <c r="S30" s="63"/>
      <c r="T30" s="64"/>
      <c r="U30" s="64"/>
      <c r="V30" s="60"/>
      <c r="W30" s="61"/>
      <c r="X30" s="62"/>
      <c r="Y30" s="63"/>
      <c r="Z30" s="64"/>
      <c r="AA30" s="64"/>
      <c r="AB30" s="53"/>
      <c r="AC30" s="53"/>
      <c r="AD30" s="53"/>
      <c r="AE30" s="58"/>
      <c r="AF30" s="58"/>
      <c r="AG30" s="58"/>
      <c r="AH30" s="57"/>
      <c r="AI30" s="57"/>
      <c r="AJ30" s="57"/>
    </row>
    <row r="31" ht="15.75" customHeight="1">
      <c r="A31" s="36">
        <f t="shared" si="1"/>
        <v>26</v>
      </c>
      <c r="B31" s="17" t="s">
        <v>851</v>
      </c>
      <c r="C31" s="17" t="s">
        <v>852</v>
      </c>
      <c r="D31" s="60"/>
      <c r="E31" s="61"/>
      <c r="F31" s="62"/>
      <c r="G31" s="63"/>
      <c r="H31" s="64"/>
      <c r="I31" s="64"/>
      <c r="J31" s="60"/>
      <c r="K31" s="61"/>
      <c r="L31" s="62"/>
      <c r="M31" s="63"/>
      <c r="N31" s="64"/>
      <c r="O31" s="64"/>
      <c r="P31" s="60"/>
      <c r="Q31" s="61"/>
      <c r="R31" s="62"/>
      <c r="S31" s="63"/>
      <c r="T31" s="64"/>
      <c r="U31" s="64"/>
      <c r="V31" s="60"/>
      <c r="W31" s="61"/>
      <c r="X31" s="62"/>
      <c r="Y31" s="63"/>
      <c r="Z31" s="64"/>
      <c r="AA31" s="64"/>
      <c r="AB31" s="53"/>
      <c r="AC31" s="53"/>
      <c r="AD31" s="53"/>
      <c r="AE31" s="58"/>
      <c r="AF31" s="58"/>
      <c r="AG31" s="58"/>
      <c r="AH31" s="57"/>
      <c r="AI31" s="57"/>
      <c r="AJ31" s="57"/>
    </row>
    <row r="32" ht="15.75" customHeight="1">
      <c r="A32" s="36">
        <f t="shared" si="1"/>
        <v>27</v>
      </c>
      <c r="B32" s="17" t="s">
        <v>851</v>
      </c>
      <c r="C32" s="17" t="s">
        <v>853</v>
      </c>
      <c r="D32" s="60"/>
      <c r="E32" s="61"/>
      <c r="F32" s="62"/>
      <c r="G32" s="63"/>
      <c r="H32" s="64"/>
      <c r="I32" s="64"/>
      <c r="J32" s="60"/>
      <c r="K32" s="61"/>
      <c r="L32" s="62"/>
      <c r="M32" s="63"/>
      <c r="N32" s="64"/>
      <c r="O32" s="64"/>
      <c r="P32" s="60"/>
      <c r="Q32" s="61"/>
      <c r="R32" s="62"/>
      <c r="S32" s="63"/>
      <c r="T32" s="64"/>
      <c r="U32" s="64"/>
      <c r="V32" s="60"/>
      <c r="W32" s="61"/>
      <c r="X32" s="62"/>
      <c r="Y32" s="63"/>
      <c r="Z32" s="64"/>
      <c r="AA32" s="64"/>
      <c r="AB32" s="53"/>
      <c r="AC32" s="53"/>
      <c r="AD32" s="53"/>
      <c r="AE32" s="58"/>
      <c r="AF32" s="58"/>
      <c r="AG32" s="58"/>
      <c r="AH32" s="57"/>
      <c r="AI32" s="57"/>
      <c r="AJ32" s="57"/>
    </row>
    <row r="33" ht="15.75" customHeight="1">
      <c r="A33" s="36">
        <f t="shared" si="1"/>
        <v>28</v>
      </c>
      <c r="B33" s="17" t="s">
        <v>851</v>
      </c>
      <c r="C33" s="17" t="s">
        <v>854</v>
      </c>
      <c r="D33" s="60"/>
      <c r="E33" s="61"/>
      <c r="F33" s="62"/>
      <c r="G33" s="63"/>
      <c r="H33" s="64"/>
      <c r="I33" s="64"/>
      <c r="J33" s="60"/>
      <c r="K33" s="61"/>
      <c r="L33" s="62"/>
      <c r="M33" s="63"/>
      <c r="N33" s="64"/>
      <c r="O33" s="64"/>
      <c r="P33" s="60"/>
      <c r="Q33" s="61"/>
      <c r="R33" s="62"/>
      <c r="S33" s="63"/>
      <c r="T33" s="64"/>
      <c r="U33" s="64"/>
      <c r="V33" s="60"/>
      <c r="W33" s="61"/>
      <c r="X33" s="62"/>
      <c r="Y33" s="63"/>
      <c r="Z33" s="64"/>
      <c r="AA33" s="64"/>
      <c r="AB33" s="53"/>
      <c r="AC33" s="53"/>
      <c r="AD33" s="53"/>
      <c r="AE33" s="58"/>
      <c r="AF33" s="58"/>
      <c r="AG33" s="58"/>
      <c r="AH33" s="57"/>
      <c r="AI33" s="57"/>
      <c r="AJ33" s="57"/>
    </row>
    <row r="34" ht="15.75" customHeight="1">
      <c r="A34" s="36">
        <f t="shared" si="1"/>
        <v>29</v>
      </c>
      <c r="B34" s="17" t="s">
        <v>852</v>
      </c>
      <c r="C34" s="17" t="s">
        <v>848</v>
      </c>
      <c r="D34" s="60"/>
      <c r="E34" s="61"/>
      <c r="F34" s="62"/>
      <c r="G34" s="63"/>
      <c r="H34" s="64"/>
      <c r="I34" s="64"/>
      <c r="J34" s="60"/>
      <c r="K34" s="61"/>
      <c r="L34" s="62"/>
      <c r="M34" s="63"/>
      <c r="N34" s="64"/>
      <c r="O34" s="64"/>
      <c r="P34" s="60"/>
      <c r="Q34" s="61"/>
      <c r="R34" s="62"/>
      <c r="S34" s="63"/>
      <c r="T34" s="64"/>
      <c r="U34" s="64"/>
      <c r="V34" s="60"/>
      <c r="W34" s="61"/>
      <c r="X34" s="62"/>
      <c r="Y34" s="63"/>
      <c r="Z34" s="64"/>
      <c r="AA34" s="64"/>
      <c r="AB34" s="53"/>
      <c r="AC34" s="53"/>
      <c r="AD34" s="53"/>
      <c r="AE34" s="58"/>
      <c r="AF34" s="58"/>
      <c r="AG34" s="58"/>
      <c r="AH34" s="57"/>
      <c r="AI34" s="57"/>
      <c r="AJ34" s="57"/>
    </row>
    <row r="35" ht="15.75" customHeight="1">
      <c r="A35" s="36">
        <f t="shared" si="1"/>
        <v>30</v>
      </c>
      <c r="B35" s="17" t="s">
        <v>852</v>
      </c>
      <c r="C35" s="17" t="s">
        <v>849</v>
      </c>
      <c r="D35" s="60"/>
      <c r="E35" s="61"/>
      <c r="F35" s="62"/>
      <c r="G35" s="63"/>
      <c r="H35" s="64"/>
      <c r="I35" s="64"/>
      <c r="J35" s="60"/>
      <c r="K35" s="61"/>
      <c r="L35" s="62"/>
      <c r="M35" s="63"/>
      <c r="N35" s="64"/>
      <c r="O35" s="64"/>
      <c r="P35" s="60"/>
      <c r="Q35" s="61"/>
      <c r="R35" s="62"/>
      <c r="S35" s="63"/>
      <c r="T35" s="64"/>
      <c r="U35" s="64"/>
      <c r="V35" s="60"/>
      <c r="W35" s="61"/>
      <c r="X35" s="62"/>
      <c r="Y35" s="63"/>
      <c r="Z35" s="64"/>
      <c r="AA35" s="64"/>
      <c r="AB35" s="53"/>
      <c r="AC35" s="53"/>
      <c r="AD35" s="53"/>
      <c r="AE35" s="58"/>
      <c r="AF35" s="58"/>
      <c r="AG35" s="58"/>
      <c r="AH35" s="57"/>
      <c r="AI35" s="57"/>
      <c r="AJ35" s="57"/>
    </row>
    <row r="36" ht="15.75" customHeight="1">
      <c r="A36" s="36">
        <f t="shared" si="1"/>
        <v>31</v>
      </c>
      <c r="B36" s="17" t="s">
        <v>852</v>
      </c>
      <c r="C36" s="17" t="s">
        <v>850</v>
      </c>
      <c r="D36" s="60"/>
      <c r="E36" s="61"/>
      <c r="F36" s="62"/>
      <c r="G36" s="63"/>
      <c r="H36" s="64"/>
      <c r="I36" s="64"/>
      <c r="J36" s="60"/>
      <c r="K36" s="61"/>
      <c r="L36" s="62"/>
      <c r="M36" s="63"/>
      <c r="N36" s="64"/>
      <c r="O36" s="64"/>
      <c r="P36" s="60"/>
      <c r="Q36" s="61"/>
      <c r="R36" s="62"/>
      <c r="S36" s="63"/>
      <c r="T36" s="64"/>
      <c r="U36" s="64"/>
      <c r="V36" s="60"/>
      <c r="W36" s="61"/>
      <c r="X36" s="62"/>
      <c r="Y36" s="63"/>
      <c r="Z36" s="64"/>
      <c r="AA36" s="64"/>
      <c r="AB36" s="53"/>
      <c r="AC36" s="53"/>
      <c r="AD36" s="53"/>
      <c r="AE36" s="58"/>
      <c r="AF36" s="58"/>
      <c r="AG36" s="58"/>
      <c r="AH36" s="57"/>
      <c r="AI36" s="57"/>
      <c r="AJ36" s="57"/>
    </row>
    <row r="37" ht="15.75" customHeight="1">
      <c r="A37" s="36">
        <f t="shared" si="1"/>
        <v>32</v>
      </c>
      <c r="B37" s="17" t="s">
        <v>852</v>
      </c>
      <c r="C37" s="17" t="s">
        <v>851</v>
      </c>
      <c r="D37" s="60"/>
      <c r="E37" s="61"/>
      <c r="F37" s="62"/>
      <c r="G37" s="63"/>
      <c r="H37" s="64"/>
      <c r="I37" s="64"/>
      <c r="J37" s="60"/>
      <c r="K37" s="61"/>
      <c r="L37" s="62"/>
      <c r="M37" s="63"/>
      <c r="N37" s="64"/>
      <c r="O37" s="64"/>
      <c r="P37" s="60"/>
      <c r="Q37" s="61"/>
      <c r="R37" s="62"/>
      <c r="S37" s="63"/>
      <c r="T37" s="64"/>
      <c r="U37" s="64"/>
      <c r="V37" s="60"/>
      <c r="W37" s="61"/>
      <c r="X37" s="62"/>
      <c r="Y37" s="63"/>
      <c r="Z37" s="64"/>
      <c r="AA37" s="64"/>
      <c r="AB37" s="53"/>
      <c r="AC37" s="53"/>
      <c r="AD37" s="53"/>
      <c r="AE37" s="58"/>
      <c r="AF37" s="58"/>
      <c r="AG37" s="58"/>
      <c r="AH37" s="57"/>
      <c r="AI37" s="57"/>
      <c r="AJ37" s="57"/>
    </row>
    <row r="38" ht="15.75" customHeight="1">
      <c r="A38" s="36">
        <f t="shared" si="1"/>
        <v>33</v>
      </c>
      <c r="B38" s="17" t="s">
        <v>852</v>
      </c>
      <c r="C38" s="17" t="s">
        <v>852</v>
      </c>
      <c r="D38" s="60"/>
      <c r="E38" s="61"/>
      <c r="F38" s="62"/>
      <c r="G38" s="63"/>
      <c r="H38" s="64"/>
      <c r="I38" s="64"/>
      <c r="J38" s="60"/>
      <c r="K38" s="61"/>
      <c r="L38" s="62"/>
      <c r="M38" s="63"/>
      <c r="N38" s="64"/>
      <c r="O38" s="64"/>
      <c r="P38" s="60"/>
      <c r="Q38" s="61"/>
      <c r="R38" s="62"/>
      <c r="S38" s="63"/>
      <c r="T38" s="64"/>
      <c r="U38" s="64"/>
      <c r="V38" s="60"/>
      <c r="W38" s="61"/>
      <c r="X38" s="62"/>
      <c r="Y38" s="63"/>
      <c r="Z38" s="64"/>
      <c r="AA38" s="64"/>
      <c r="AB38" s="53"/>
      <c r="AC38" s="53"/>
      <c r="AD38" s="53"/>
      <c r="AE38" s="58"/>
      <c r="AF38" s="58"/>
      <c r="AG38" s="58"/>
      <c r="AH38" s="57"/>
      <c r="AI38" s="57"/>
      <c r="AJ38" s="57"/>
    </row>
    <row r="39" ht="15.75" customHeight="1">
      <c r="A39" s="36">
        <f t="shared" si="1"/>
        <v>34</v>
      </c>
      <c r="B39" s="17" t="s">
        <v>852</v>
      </c>
      <c r="C39" s="17" t="s">
        <v>853</v>
      </c>
      <c r="D39" s="60"/>
      <c r="E39" s="61"/>
      <c r="F39" s="62"/>
      <c r="G39" s="63"/>
      <c r="H39" s="64"/>
      <c r="I39" s="64"/>
      <c r="J39" s="60"/>
      <c r="K39" s="61"/>
      <c r="L39" s="62"/>
      <c r="M39" s="63"/>
      <c r="N39" s="64"/>
      <c r="O39" s="64"/>
      <c r="P39" s="60"/>
      <c r="Q39" s="61"/>
      <c r="R39" s="62"/>
      <c r="S39" s="63"/>
      <c r="T39" s="64"/>
      <c r="U39" s="64"/>
      <c r="V39" s="60"/>
      <c r="W39" s="61"/>
      <c r="X39" s="62"/>
      <c r="Y39" s="63"/>
      <c r="Z39" s="64"/>
      <c r="AA39" s="64"/>
      <c r="AB39" s="53"/>
      <c r="AC39" s="53"/>
      <c r="AD39" s="53"/>
      <c r="AE39" s="58"/>
      <c r="AF39" s="58"/>
      <c r="AG39" s="58"/>
      <c r="AH39" s="57"/>
      <c r="AI39" s="57"/>
      <c r="AJ39" s="57"/>
    </row>
    <row r="40" ht="15.75" customHeight="1">
      <c r="A40" s="36">
        <f t="shared" si="1"/>
        <v>35</v>
      </c>
      <c r="B40" s="17" t="s">
        <v>852</v>
      </c>
      <c r="C40" s="17" t="s">
        <v>854</v>
      </c>
      <c r="D40" s="60"/>
      <c r="E40" s="61"/>
      <c r="F40" s="62"/>
      <c r="G40" s="63"/>
      <c r="H40" s="64"/>
      <c r="I40" s="64"/>
      <c r="J40" s="60"/>
      <c r="K40" s="61"/>
      <c r="L40" s="62"/>
      <c r="M40" s="63"/>
      <c r="N40" s="64"/>
      <c r="O40" s="64"/>
      <c r="P40" s="60"/>
      <c r="Q40" s="61"/>
      <c r="R40" s="62"/>
      <c r="S40" s="63"/>
      <c r="T40" s="64"/>
      <c r="U40" s="64"/>
      <c r="V40" s="60"/>
      <c r="W40" s="61"/>
      <c r="X40" s="62"/>
      <c r="Y40" s="63"/>
      <c r="Z40" s="64"/>
      <c r="AA40" s="64"/>
      <c r="AB40" s="53"/>
      <c r="AC40" s="53"/>
      <c r="AD40" s="53"/>
      <c r="AE40" s="58"/>
      <c r="AF40" s="58"/>
      <c r="AG40" s="58"/>
      <c r="AH40" s="57"/>
      <c r="AI40" s="57"/>
      <c r="AJ40" s="57"/>
    </row>
    <row r="41" ht="15.75" customHeight="1">
      <c r="A41" s="36">
        <f t="shared" si="1"/>
        <v>36</v>
      </c>
      <c r="B41" s="17" t="s">
        <v>853</v>
      </c>
      <c r="C41" s="17" t="s">
        <v>848</v>
      </c>
      <c r="D41" s="60"/>
      <c r="E41" s="61"/>
      <c r="F41" s="62"/>
      <c r="G41" s="63"/>
      <c r="H41" s="64"/>
      <c r="I41" s="64"/>
      <c r="J41" s="60"/>
      <c r="K41" s="61"/>
      <c r="L41" s="62"/>
      <c r="M41" s="63"/>
      <c r="N41" s="64"/>
      <c r="O41" s="64"/>
      <c r="P41" s="60"/>
      <c r="Q41" s="61"/>
      <c r="R41" s="62"/>
      <c r="S41" s="63"/>
      <c r="T41" s="64"/>
      <c r="U41" s="64"/>
      <c r="V41" s="60"/>
      <c r="W41" s="61"/>
      <c r="X41" s="62"/>
      <c r="Y41" s="63"/>
      <c r="Z41" s="64"/>
      <c r="AA41" s="64"/>
      <c r="AB41" s="53"/>
      <c r="AC41" s="53"/>
      <c r="AD41" s="53"/>
      <c r="AE41" s="58"/>
      <c r="AF41" s="58"/>
      <c r="AG41" s="58"/>
      <c r="AH41" s="57"/>
      <c r="AI41" s="57"/>
      <c r="AJ41" s="57"/>
    </row>
    <row r="42" ht="15.75" customHeight="1">
      <c r="A42" s="36">
        <f t="shared" si="1"/>
        <v>37</v>
      </c>
      <c r="B42" s="17" t="s">
        <v>853</v>
      </c>
      <c r="C42" s="17" t="s">
        <v>849</v>
      </c>
      <c r="D42" s="60"/>
      <c r="E42" s="61"/>
      <c r="F42" s="62"/>
      <c r="G42" s="63"/>
      <c r="H42" s="64"/>
      <c r="I42" s="64"/>
      <c r="J42" s="60"/>
      <c r="K42" s="61"/>
      <c r="L42" s="62"/>
      <c r="M42" s="63"/>
      <c r="N42" s="64"/>
      <c r="O42" s="64"/>
      <c r="P42" s="60"/>
      <c r="Q42" s="61"/>
      <c r="R42" s="62"/>
      <c r="S42" s="63"/>
      <c r="T42" s="64"/>
      <c r="U42" s="64"/>
      <c r="V42" s="60"/>
      <c r="W42" s="61"/>
      <c r="X42" s="62"/>
      <c r="Y42" s="63"/>
      <c r="Z42" s="64"/>
      <c r="AA42" s="64"/>
      <c r="AB42" s="53"/>
      <c r="AC42" s="53"/>
      <c r="AD42" s="53"/>
      <c r="AE42" s="58"/>
      <c r="AF42" s="58"/>
      <c r="AG42" s="58"/>
      <c r="AH42" s="57"/>
      <c r="AI42" s="57"/>
      <c r="AJ42" s="57"/>
    </row>
    <row r="43" ht="15.75" customHeight="1">
      <c r="A43" s="36">
        <f t="shared" si="1"/>
        <v>38</v>
      </c>
      <c r="B43" s="17" t="s">
        <v>853</v>
      </c>
      <c r="C43" s="17" t="s">
        <v>850</v>
      </c>
      <c r="D43" s="60"/>
      <c r="E43" s="61"/>
      <c r="F43" s="62"/>
      <c r="G43" s="63"/>
      <c r="H43" s="64"/>
      <c r="I43" s="64"/>
      <c r="J43" s="60"/>
      <c r="K43" s="61"/>
      <c r="L43" s="62"/>
      <c r="M43" s="63"/>
      <c r="N43" s="64"/>
      <c r="O43" s="64"/>
      <c r="P43" s="60"/>
      <c r="Q43" s="61"/>
      <c r="R43" s="62"/>
      <c r="S43" s="63"/>
      <c r="T43" s="64"/>
      <c r="U43" s="64"/>
      <c r="V43" s="60"/>
      <c r="W43" s="61"/>
      <c r="X43" s="62"/>
      <c r="Y43" s="63"/>
      <c r="Z43" s="64"/>
      <c r="AA43" s="64"/>
      <c r="AB43" s="53"/>
      <c r="AC43" s="53"/>
      <c r="AD43" s="53"/>
      <c r="AE43" s="58"/>
      <c r="AF43" s="58"/>
      <c r="AG43" s="58"/>
      <c r="AH43" s="57"/>
      <c r="AI43" s="57"/>
      <c r="AJ43" s="57"/>
    </row>
    <row r="44" ht="15.75" customHeight="1">
      <c r="A44" s="36">
        <f t="shared" si="1"/>
        <v>39</v>
      </c>
      <c r="B44" s="17" t="s">
        <v>853</v>
      </c>
      <c r="C44" s="17" t="s">
        <v>851</v>
      </c>
      <c r="D44" s="60"/>
      <c r="E44" s="61"/>
      <c r="F44" s="62"/>
      <c r="G44" s="63"/>
      <c r="H44" s="64"/>
      <c r="I44" s="64"/>
      <c r="J44" s="60"/>
      <c r="K44" s="61"/>
      <c r="L44" s="62"/>
      <c r="M44" s="63"/>
      <c r="N44" s="64"/>
      <c r="O44" s="64"/>
      <c r="P44" s="60"/>
      <c r="Q44" s="61"/>
      <c r="R44" s="62"/>
      <c r="S44" s="63"/>
      <c r="T44" s="64"/>
      <c r="U44" s="64"/>
      <c r="V44" s="60"/>
      <c r="W44" s="61"/>
      <c r="X44" s="62"/>
      <c r="Y44" s="63"/>
      <c r="Z44" s="64"/>
      <c r="AA44" s="64"/>
      <c r="AB44" s="53"/>
      <c r="AC44" s="53"/>
      <c r="AD44" s="53"/>
      <c r="AE44" s="58"/>
      <c r="AF44" s="58"/>
      <c r="AG44" s="58"/>
      <c r="AH44" s="57"/>
      <c r="AI44" s="57"/>
      <c r="AJ44" s="57"/>
    </row>
    <row r="45" ht="15.75" customHeight="1">
      <c r="A45" s="36">
        <f t="shared" si="1"/>
        <v>40</v>
      </c>
      <c r="B45" s="17" t="s">
        <v>853</v>
      </c>
      <c r="C45" s="17" t="s">
        <v>852</v>
      </c>
      <c r="D45" s="60"/>
      <c r="E45" s="61"/>
      <c r="F45" s="62"/>
      <c r="G45" s="63"/>
      <c r="H45" s="64"/>
      <c r="I45" s="64"/>
      <c r="J45" s="60"/>
      <c r="K45" s="61"/>
      <c r="L45" s="62"/>
      <c r="M45" s="63"/>
      <c r="N45" s="64"/>
      <c r="O45" s="64"/>
      <c r="P45" s="60"/>
      <c r="Q45" s="61"/>
      <c r="R45" s="62"/>
      <c r="S45" s="63"/>
      <c r="T45" s="64"/>
      <c r="U45" s="64"/>
      <c r="V45" s="60"/>
      <c r="W45" s="61"/>
      <c r="X45" s="62"/>
      <c r="Y45" s="63"/>
      <c r="Z45" s="64"/>
      <c r="AA45" s="64"/>
      <c r="AB45" s="53"/>
      <c r="AC45" s="53"/>
      <c r="AD45" s="53"/>
      <c r="AE45" s="58"/>
      <c r="AF45" s="58"/>
      <c r="AG45" s="58"/>
      <c r="AH45" s="57"/>
      <c r="AI45" s="57"/>
      <c r="AJ45" s="57"/>
    </row>
    <row r="46" ht="15.75" customHeight="1">
      <c r="A46" s="36">
        <f t="shared" si="1"/>
        <v>41</v>
      </c>
      <c r="B46" s="17" t="s">
        <v>853</v>
      </c>
      <c r="C46" s="17" t="s">
        <v>853</v>
      </c>
      <c r="D46" s="60"/>
      <c r="E46" s="61"/>
      <c r="F46" s="62"/>
      <c r="G46" s="63"/>
      <c r="H46" s="64"/>
      <c r="I46" s="64"/>
      <c r="J46" s="60"/>
      <c r="K46" s="61"/>
      <c r="L46" s="62"/>
      <c r="M46" s="63"/>
      <c r="N46" s="64"/>
      <c r="O46" s="64"/>
      <c r="P46" s="60"/>
      <c r="Q46" s="61"/>
      <c r="R46" s="62"/>
      <c r="S46" s="63"/>
      <c r="T46" s="64"/>
      <c r="U46" s="64"/>
      <c r="V46" s="60"/>
      <c r="W46" s="61"/>
      <c r="X46" s="62"/>
      <c r="Y46" s="63"/>
      <c r="Z46" s="64"/>
      <c r="AA46" s="64"/>
      <c r="AB46" s="53"/>
      <c r="AC46" s="53"/>
      <c r="AD46" s="53"/>
      <c r="AE46" s="58"/>
      <c r="AF46" s="58"/>
      <c r="AG46" s="58"/>
      <c r="AH46" s="57"/>
      <c r="AI46" s="57"/>
      <c r="AJ46" s="57"/>
    </row>
    <row r="47" ht="15.75" customHeight="1">
      <c r="A47" s="36">
        <f t="shared" si="1"/>
        <v>42</v>
      </c>
      <c r="B47" s="17" t="s">
        <v>853</v>
      </c>
      <c r="C47" s="17" t="s">
        <v>854</v>
      </c>
      <c r="D47" s="60"/>
      <c r="E47" s="61"/>
      <c r="F47" s="62"/>
      <c r="G47" s="63"/>
      <c r="H47" s="64"/>
      <c r="I47" s="64"/>
      <c r="J47" s="60"/>
      <c r="K47" s="61"/>
      <c r="L47" s="62"/>
      <c r="M47" s="63"/>
      <c r="N47" s="64"/>
      <c r="O47" s="64"/>
      <c r="P47" s="60"/>
      <c r="Q47" s="61"/>
      <c r="R47" s="62"/>
      <c r="S47" s="63"/>
      <c r="T47" s="64"/>
      <c r="U47" s="64"/>
      <c r="V47" s="60"/>
      <c r="W47" s="61"/>
      <c r="X47" s="62"/>
      <c r="Y47" s="63"/>
      <c r="Z47" s="64"/>
      <c r="AA47" s="64"/>
      <c r="AB47" s="53"/>
      <c r="AC47" s="53"/>
      <c r="AD47" s="53"/>
      <c r="AE47" s="58"/>
      <c r="AF47" s="58"/>
      <c r="AG47" s="58"/>
      <c r="AH47" s="57"/>
      <c r="AI47" s="57"/>
      <c r="AJ47" s="57"/>
    </row>
    <row r="48" ht="15.75" customHeight="1">
      <c r="A48" s="36">
        <f t="shared" si="1"/>
        <v>43</v>
      </c>
      <c r="B48" s="17" t="s">
        <v>854</v>
      </c>
      <c r="C48" s="17" t="s">
        <v>848</v>
      </c>
      <c r="D48" s="60"/>
      <c r="E48" s="61"/>
      <c r="F48" s="62"/>
      <c r="G48" s="63"/>
      <c r="H48" s="64"/>
      <c r="I48" s="64"/>
      <c r="J48" s="60"/>
      <c r="K48" s="61"/>
      <c r="L48" s="62"/>
      <c r="M48" s="63"/>
      <c r="N48" s="64"/>
      <c r="O48" s="64"/>
      <c r="P48" s="60"/>
      <c r="Q48" s="61"/>
      <c r="R48" s="62"/>
      <c r="S48" s="63"/>
      <c r="T48" s="64"/>
      <c r="U48" s="64"/>
      <c r="V48" s="60"/>
      <c r="W48" s="61"/>
      <c r="X48" s="62"/>
      <c r="Y48" s="63"/>
      <c r="Z48" s="64"/>
      <c r="AA48" s="64"/>
      <c r="AB48" s="53"/>
      <c r="AC48" s="53"/>
      <c r="AD48" s="53"/>
      <c r="AE48" s="58"/>
      <c r="AF48" s="58"/>
      <c r="AG48" s="58"/>
      <c r="AH48" s="57"/>
      <c r="AI48" s="57"/>
      <c r="AJ48" s="57"/>
    </row>
    <row r="49" ht="15.75" customHeight="1">
      <c r="A49" s="36">
        <f t="shared" si="1"/>
        <v>44</v>
      </c>
      <c r="B49" s="17" t="s">
        <v>854</v>
      </c>
      <c r="C49" s="17" t="s">
        <v>849</v>
      </c>
      <c r="D49" s="60"/>
      <c r="E49" s="61"/>
      <c r="F49" s="62"/>
      <c r="G49" s="63"/>
      <c r="H49" s="64"/>
      <c r="I49" s="64"/>
      <c r="J49" s="60"/>
      <c r="K49" s="61"/>
      <c r="L49" s="62"/>
      <c r="M49" s="63"/>
      <c r="N49" s="64"/>
      <c r="O49" s="64"/>
      <c r="P49" s="60"/>
      <c r="Q49" s="61"/>
      <c r="R49" s="62"/>
      <c r="S49" s="63"/>
      <c r="T49" s="64"/>
      <c r="U49" s="64"/>
      <c r="V49" s="60"/>
      <c r="W49" s="61"/>
      <c r="X49" s="62"/>
      <c r="Y49" s="63"/>
      <c r="Z49" s="64"/>
      <c r="AA49" s="64"/>
      <c r="AB49" s="53"/>
      <c r="AC49" s="53"/>
      <c r="AD49" s="53"/>
      <c r="AE49" s="58"/>
      <c r="AF49" s="58"/>
      <c r="AG49" s="58"/>
      <c r="AH49" s="57"/>
      <c r="AI49" s="57"/>
      <c r="AJ49" s="57"/>
    </row>
    <row r="50" ht="15.75" customHeight="1">
      <c r="A50" s="36">
        <f t="shared" si="1"/>
        <v>45</v>
      </c>
      <c r="B50" s="17" t="s">
        <v>854</v>
      </c>
      <c r="C50" s="17" t="s">
        <v>850</v>
      </c>
      <c r="D50" s="60"/>
      <c r="E50" s="61"/>
      <c r="F50" s="62"/>
      <c r="G50" s="63"/>
      <c r="H50" s="64"/>
      <c r="I50" s="64"/>
      <c r="J50" s="60"/>
      <c r="K50" s="61"/>
      <c r="L50" s="62"/>
      <c r="M50" s="63"/>
      <c r="N50" s="64"/>
      <c r="O50" s="64"/>
      <c r="P50" s="60"/>
      <c r="Q50" s="61"/>
      <c r="R50" s="62"/>
      <c r="S50" s="63"/>
      <c r="T50" s="64"/>
      <c r="U50" s="64"/>
      <c r="V50" s="60"/>
      <c r="W50" s="61"/>
      <c r="X50" s="62"/>
      <c r="Y50" s="63"/>
      <c r="Z50" s="64"/>
      <c r="AA50" s="64"/>
      <c r="AB50" s="53"/>
      <c r="AC50" s="53"/>
      <c r="AD50" s="53"/>
      <c r="AE50" s="58"/>
      <c r="AF50" s="58"/>
      <c r="AG50" s="58"/>
      <c r="AH50" s="57"/>
      <c r="AI50" s="57"/>
      <c r="AJ50" s="57"/>
    </row>
    <row r="51" ht="15.75" customHeight="1">
      <c r="A51" s="36">
        <f t="shared" si="1"/>
        <v>46</v>
      </c>
      <c r="B51" s="17" t="s">
        <v>854</v>
      </c>
      <c r="C51" s="17" t="s">
        <v>851</v>
      </c>
      <c r="D51" s="60"/>
      <c r="E51" s="61"/>
      <c r="F51" s="62"/>
      <c r="G51" s="63"/>
      <c r="H51" s="64"/>
      <c r="I51" s="64"/>
      <c r="J51" s="60"/>
      <c r="K51" s="61"/>
      <c r="L51" s="62"/>
      <c r="M51" s="63"/>
      <c r="N51" s="64"/>
      <c r="O51" s="64"/>
      <c r="P51" s="60"/>
      <c r="Q51" s="61"/>
      <c r="R51" s="62"/>
      <c r="S51" s="63"/>
      <c r="T51" s="64"/>
      <c r="U51" s="64"/>
      <c r="V51" s="60"/>
      <c r="W51" s="61"/>
      <c r="X51" s="62"/>
      <c r="Y51" s="63"/>
      <c r="Z51" s="64"/>
      <c r="AA51" s="64"/>
      <c r="AB51" s="53"/>
      <c r="AC51" s="53"/>
      <c r="AD51" s="53"/>
      <c r="AE51" s="58"/>
      <c r="AF51" s="58"/>
      <c r="AG51" s="58"/>
      <c r="AH51" s="57"/>
      <c r="AI51" s="57"/>
      <c r="AJ51" s="57"/>
    </row>
    <row r="52" ht="15.75" customHeight="1">
      <c r="A52" s="36">
        <f t="shared" si="1"/>
        <v>47</v>
      </c>
      <c r="B52" s="17" t="s">
        <v>854</v>
      </c>
      <c r="C52" s="17" t="s">
        <v>852</v>
      </c>
      <c r="D52" s="60"/>
      <c r="E52" s="61"/>
      <c r="F52" s="62"/>
      <c r="G52" s="63"/>
      <c r="H52" s="64"/>
      <c r="I52" s="64"/>
      <c r="J52" s="60"/>
      <c r="K52" s="61"/>
      <c r="L52" s="62"/>
      <c r="M52" s="63"/>
      <c r="N52" s="64"/>
      <c r="O52" s="64"/>
      <c r="P52" s="60"/>
      <c r="Q52" s="61"/>
      <c r="R52" s="62"/>
      <c r="S52" s="63"/>
      <c r="T52" s="64"/>
      <c r="U52" s="64"/>
      <c r="V52" s="60"/>
      <c r="W52" s="61"/>
      <c r="X52" s="62"/>
      <c r="Y52" s="63"/>
      <c r="Z52" s="64"/>
      <c r="AA52" s="64"/>
      <c r="AB52" s="53"/>
      <c r="AC52" s="53"/>
      <c r="AD52" s="53"/>
      <c r="AE52" s="58"/>
      <c r="AF52" s="58"/>
      <c r="AG52" s="58"/>
      <c r="AH52" s="57"/>
      <c r="AI52" s="57"/>
      <c r="AJ52" s="57"/>
    </row>
    <row r="53" ht="15.75" customHeight="1">
      <c r="A53" s="36">
        <f t="shared" si="1"/>
        <v>48</v>
      </c>
      <c r="B53" s="17" t="s">
        <v>854</v>
      </c>
      <c r="C53" s="17" t="s">
        <v>853</v>
      </c>
      <c r="D53" s="60"/>
      <c r="E53" s="61"/>
      <c r="F53" s="62"/>
      <c r="G53" s="63"/>
      <c r="H53" s="64"/>
      <c r="I53" s="64"/>
      <c r="J53" s="60"/>
      <c r="K53" s="61"/>
      <c r="L53" s="62"/>
      <c r="M53" s="63"/>
      <c r="N53" s="64"/>
      <c r="O53" s="64"/>
      <c r="P53" s="60"/>
      <c r="Q53" s="61"/>
      <c r="R53" s="62"/>
      <c r="S53" s="63"/>
      <c r="T53" s="64"/>
      <c r="U53" s="64"/>
      <c r="V53" s="60"/>
      <c r="W53" s="61"/>
      <c r="X53" s="62"/>
      <c r="Y53" s="63"/>
      <c r="Z53" s="64"/>
      <c r="AA53" s="64"/>
      <c r="AB53" s="53"/>
      <c r="AC53" s="53"/>
      <c r="AD53" s="53"/>
      <c r="AE53" s="58"/>
      <c r="AF53" s="58"/>
      <c r="AG53" s="58"/>
      <c r="AH53" s="57"/>
      <c r="AI53" s="57"/>
      <c r="AJ53" s="57"/>
    </row>
    <row r="54" ht="15.75" customHeight="1">
      <c r="A54" s="36">
        <f t="shared" si="1"/>
        <v>49</v>
      </c>
      <c r="B54" s="17" t="s">
        <v>854</v>
      </c>
      <c r="C54" s="17" t="s">
        <v>854</v>
      </c>
      <c r="D54" s="60"/>
      <c r="E54" s="61"/>
      <c r="F54" s="62"/>
      <c r="G54" s="63"/>
      <c r="H54" s="64"/>
      <c r="I54" s="64"/>
      <c r="J54" s="60"/>
      <c r="K54" s="61"/>
      <c r="L54" s="62"/>
      <c r="M54" s="63"/>
      <c r="N54" s="64"/>
      <c r="O54" s="64"/>
      <c r="P54" s="60"/>
      <c r="Q54" s="61"/>
      <c r="R54" s="62"/>
      <c r="S54" s="63"/>
      <c r="T54" s="64"/>
      <c r="U54" s="64"/>
      <c r="V54" s="60"/>
      <c r="W54" s="61"/>
      <c r="X54" s="62"/>
      <c r="Y54" s="63"/>
      <c r="Z54" s="64"/>
      <c r="AA54" s="64"/>
      <c r="AB54" s="53"/>
      <c r="AC54" s="53"/>
      <c r="AD54" s="53"/>
      <c r="AE54" s="58"/>
      <c r="AF54" s="58"/>
      <c r="AG54" s="58"/>
      <c r="AH54" s="57"/>
      <c r="AI54" s="57"/>
      <c r="AJ54" s="57"/>
    </row>
    <row r="55" ht="15.75" customHeight="1">
      <c r="A55" s="36">
        <f t="shared" si="1"/>
        <v>50</v>
      </c>
      <c r="B55" s="17" t="s">
        <v>855</v>
      </c>
      <c r="C55" s="17" t="s">
        <v>855</v>
      </c>
      <c r="D55" s="60"/>
      <c r="E55" s="61"/>
      <c r="F55" s="62"/>
      <c r="G55" s="63"/>
      <c r="H55" s="64"/>
      <c r="I55" s="64"/>
      <c r="J55" s="60"/>
      <c r="K55" s="61"/>
      <c r="L55" s="62"/>
      <c r="M55" s="63"/>
      <c r="N55" s="64"/>
      <c r="O55" s="64"/>
      <c r="P55" s="60"/>
      <c r="Q55" s="61"/>
      <c r="R55" s="62"/>
      <c r="S55" s="63"/>
      <c r="T55" s="64"/>
      <c r="U55" s="64"/>
      <c r="V55" s="60"/>
      <c r="W55" s="61"/>
      <c r="X55" s="62"/>
      <c r="Y55" s="63"/>
      <c r="Z55" s="64"/>
      <c r="AA55" s="64"/>
      <c r="AB55" s="2"/>
      <c r="AC55" s="2"/>
      <c r="AD55" s="2"/>
      <c r="AE55" s="2"/>
      <c r="AF55" s="2"/>
      <c r="AG55" s="2"/>
      <c r="AH55" s="2"/>
      <c r="AI55" s="2"/>
      <c r="AJ55" s="2"/>
    </row>
    <row r="56" ht="14.25" customHeight="1">
      <c r="A56" s="44"/>
      <c r="B56" s="12"/>
      <c r="C56" s="12"/>
      <c r="D56" s="2"/>
      <c r="E56" s="2"/>
      <c r="F56" s="12"/>
      <c r="G56" s="10"/>
      <c r="H56" s="8"/>
      <c r="I56" s="12"/>
      <c r="J56" s="8"/>
      <c r="K56" s="8"/>
      <c r="L56" s="8"/>
      <c r="M56" s="8"/>
      <c r="N56" s="8"/>
      <c r="O56" s="8"/>
      <c r="P56" s="12"/>
      <c r="Q56" s="8"/>
      <c r="R56" s="1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8"/>
      <c r="AI56" s="8"/>
      <c r="AJ56" s="8"/>
    </row>
    <row r="57" ht="14.25" customHeight="1">
      <c r="A57" s="44"/>
      <c r="B57" s="12"/>
      <c r="C57" s="12"/>
      <c r="F57" s="12"/>
      <c r="G57" s="10"/>
      <c r="H57" s="8"/>
      <c r="I57" s="12"/>
      <c r="J57" s="8"/>
      <c r="K57" s="8"/>
      <c r="L57" s="8"/>
      <c r="M57" s="8"/>
      <c r="N57" s="8"/>
      <c r="O57" s="8"/>
      <c r="P57" s="12"/>
      <c r="Q57" s="8"/>
      <c r="R57" s="12"/>
      <c r="T57" s="12"/>
      <c r="AH57" s="8"/>
      <c r="AI57" s="8"/>
      <c r="AJ57" s="8"/>
    </row>
    <row r="58" ht="14.25" customHeight="1">
      <c r="A58" s="44"/>
      <c r="B58" s="12"/>
      <c r="C58" s="12"/>
      <c r="F58" s="12"/>
      <c r="G58" s="10"/>
      <c r="H58" s="8"/>
      <c r="I58" s="12"/>
      <c r="J58" s="8"/>
      <c r="K58" s="8"/>
      <c r="L58" s="8"/>
      <c r="M58" s="8"/>
      <c r="N58" s="8"/>
      <c r="O58" s="8"/>
      <c r="P58" s="12"/>
      <c r="Q58" s="8"/>
      <c r="R58" s="12"/>
      <c r="T58" s="12"/>
      <c r="AH58" s="8"/>
      <c r="AI58" s="8"/>
      <c r="AJ58" s="8"/>
    </row>
    <row r="59" ht="14.25" customHeight="1">
      <c r="A59" s="44"/>
      <c r="B59" s="12"/>
      <c r="C59" s="12"/>
      <c r="F59" s="12"/>
      <c r="G59" s="10"/>
      <c r="H59" s="8"/>
      <c r="I59" s="12"/>
      <c r="J59" s="8"/>
      <c r="K59" s="8"/>
      <c r="L59" s="8"/>
      <c r="M59" s="8"/>
      <c r="N59" s="8"/>
      <c r="O59" s="8"/>
      <c r="P59" s="12"/>
      <c r="Q59" s="8"/>
      <c r="R59" s="12"/>
      <c r="T59" s="12"/>
      <c r="AH59" s="8"/>
      <c r="AI59" s="8"/>
      <c r="AJ59" s="8"/>
    </row>
    <row r="60" ht="14.25" customHeight="1">
      <c r="A60" s="44"/>
      <c r="B60" s="12"/>
      <c r="C60" s="12"/>
      <c r="F60" s="12"/>
      <c r="G60" s="10"/>
      <c r="H60" s="8"/>
      <c r="I60" s="12"/>
      <c r="J60" s="8"/>
      <c r="K60" s="8"/>
      <c r="L60" s="8"/>
      <c r="M60" s="8"/>
      <c r="N60" s="8"/>
      <c r="O60" s="8"/>
      <c r="P60" s="12"/>
      <c r="Q60" s="8"/>
      <c r="R60" s="12"/>
      <c r="T60" s="12"/>
      <c r="AH60" s="8"/>
      <c r="AI60" s="8"/>
      <c r="AJ60" s="8"/>
    </row>
    <row r="61" ht="14.25" customHeight="1">
      <c r="A61" s="44"/>
      <c r="B61" s="12"/>
      <c r="C61" s="12"/>
      <c r="F61" s="12"/>
      <c r="G61" s="10"/>
      <c r="H61" s="8"/>
      <c r="I61" s="12"/>
      <c r="J61" s="8"/>
      <c r="K61" s="8"/>
      <c r="L61" s="8"/>
      <c r="M61" s="8"/>
      <c r="N61" s="8"/>
      <c r="O61" s="8"/>
      <c r="P61" s="12"/>
      <c r="Q61" s="8"/>
      <c r="R61" s="12"/>
      <c r="T61" s="12"/>
      <c r="AH61" s="8"/>
      <c r="AI61" s="8"/>
      <c r="AJ61" s="8"/>
    </row>
    <row r="62" ht="14.25" customHeight="1">
      <c r="A62" s="44"/>
      <c r="B62" s="12"/>
      <c r="C62" s="12"/>
      <c r="F62" s="12"/>
      <c r="G62" s="10"/>
      <c r="H62" s="8"/>
      <c r="I62" s="12"/>
      <c r="J62" s="8"/>
      <c r="K62" s="8"/>
      <c r="L62" s="8"/>
      <c r="M62" s="8"/>
      <c r="N62" s="8"/>
      <c r="O62" s="8"/>
      <c r="P62" s="12"/>
      <c r="Q62" s="8"/>
      <c r="R62" s="12"/>
      <c r="T62" s="12"/>
      <c r="AH62" s="8"/>
      <c r="AI62" s="8"/>
      <c r="AJ62" s="8"/>
    </row>
    <row r="63" ht="14.25" customHeight="1">
      <c r="A63" s="44"/>
      <c r="B63" s="12"/>
      <c r="C63" s="12"/>
      <c r="F63" s="12"/>
      <c r="G63" s="10"/>
      <c r="H63" s="8"/>
      <c r="I63" s="12"/>
      <c r="J63" s="8"/>
      <c r="K63" s="8"/>
      <c r="L63" s="8"/>
      <c r="M63" s="8"/>
      <c r="N63" s="8"/>
      <c r="O63" s="8"/>
      <c r="P63" s="12"/>
      <c r="Q63" s="8"/>
      <c r="R63" s="12"/>
      <c r="T63" s="12"/>
      <c r="AH63" s="8"/>
      <c r="AI63" s="8"/>
      <c r="AJ63" s="8"/>
    </row>
    <row r="64" ht="14.25" customHeight="1">
      <c r="A64" s="44"/>
      <c r="B64" s="12"/>
      <c r="C64" s="12"/>
      <c r="F64" s="12"/>
      <c r="G64" s="10"/>
      <c r="H64" s="8"/>
      <c r="I64" s="12"/>
      <c r="J64" s="8"/>
      <c r="K64" s="8"/>
      <c r="L64" s="8"/>
      <c r="M64" s="8"/>
      <c r="N64" s="8"/>
      <c r="O64" s="8"/>
      <c r="P64" s="12"/>
      <c r="Q64" s="8"/>
      <c r="R64" s="12"/>
      <c r="T64" s="12"/>
      <c r="AH64" s="8"/>
      <c r="AI64" s="8"/>
      <c r="AJ64" s="8"/>
    </row>
    <row r="65" ht="14.25" customHeight="1">
      <c r="A65" s="44"/>
      <c r="B65" s="12"/>
      <c r="C65" s="12"/>
      <c r="F65" s="12"/>
      <c r="G65" s="10"/>
      <c r="H65" s="8"/>
      <c r="I65" s="12"/>
      <c r="J65" s="8"/>
      <c r="K65" s="8"/>
      <c r="L65" s="8"/>
      <c r="M65" s="8"/>
      <c r="N65" s="8"/>
      <c r="O65" s="8"/>
      <c r="P65" s="12"/>
      <c r="Q65" s="8"/>
      <c r="R65" s="12"/>
      <c r="T65" s="12"/>
      <c r="AH65" s="8"/>
      <c r="AI65" s="8"/>
      <c r="AJ65" s="8"/>
    </row>
    <row r="66" ht="14.25" customHeight="1">
      <c r="A66" s="44"/>
      <c r="B66" s="12"/>
      <c r="C66" s="12"/>
      <c r="F66" s="12"/>
      <c r="G66" s="10"/>
      <c r="H66" s="8"/>
      <c r="I66" s="12"/>
      <c r="J66" s="8"/>
      <c r="K66" s="8"/>
      <c r="L66" s="8"/>
      <c r="M66" s="8"/>
      <c r="N66" s="8"/>
      <c r="O66" s="8"/>
      <c r="P66" s="12"/>
      <c r="Q66" s="8"/>
      <c r="R66" s="12"/>
      <c r="T66" s="12"/>
      <c r="AH66" s="8"/>
      <c r="AI66" s="8"/>
      <c r="AJ66" s="8"/>
    </row>
    <row r="67" ht="14.25" customHeight="1">
      <c r="A67" s="44"/>
      <c r="B67" s="12"/>
      <c r="C67" s="12"/>
      <c r="F67" s="12"/>
      <c r="G67" s="10"/>
      <c r="H67" s="8"/>
      <c r="I67" s="12"/>
      <c r="J67" s="8"/>
      <c r="K67" s="8"/>
      <c r="L67" s="8"/>
      <c r="M67" s="8"/>
      <c r="N67" s="8"/>
      <c r="O67" s="8"/>
      <c r="P67" s="12"/>
      <c r="Q67" s="8"/>
      <c r="R67" s="12"/>
      <c r="T67" s="12"/>
      <c r="AH67" s="8"/>
      <c r="AI67" s="8"/>
      <c r="AJ67" s="8"/>
    </row>
    <row r="68" ht="14.25" customHeight="1">
      <c r="A68" s="44"/>
      <c r="B68" s="12"/>
      <c r="C68" s="12"/>
      <c r="F68" s="12"/>
      <c r="G68" s="10"/>
      <c r="H68" s="8"/>
      <c r="I68" s="12"/>
      <c r="J68" s="8"/>
      <c r="K68" s="8"/>
      <c r="L68" s="8"/>
      <c r="M68" s="8"/>
      <c r="N68" s="8"/>
      <c r="O68" s="8"/>
      <c r="P68" s="12"/>
      <c r="Q68" s="8"/>
      <c r="R68" s="12"/>
      <c r="T68" s="12"/>
      <c r="AH68" s="8"/>
      <c r="AI68" s="8"/>
      <c r="AJ68" s="8"/>
    </row>
    <row r="69" ht="14.25" customHeight="1">
      <c r="A69" s="44"/>
      <c r="B69" s="12"/>
      <c r="C69" s="12"/>
      <c r="F69" s="12"/>
      <c r="G69" s="10"/>
      <c r="H69" s="8"/>
      <c r="I69" s="12"/>
      <c r="J69" s="8"/>
      <c r="K69" s="8"/>
      <c r="L69" s="8"/>
      <c r="M69" s="8"/>
      <c r="N69" s="8"/>
      <c r="O69" s="8"/>
      <c r="P69" s="12"/>
      <c r="Q69" s="8"/>
      <c r="R69" s="12"/>
      <c r="T69" s="12"/>
      <c r="AH69" s="8"/>
      <c r="AI69" s="8"/>
      <c r="AJ69" s="8"/>
    </row>
    <row r="70" ht="14.25" customHeight="1">
      <c r="A70" s="44"/>
      <c r="B70" s="12"/>
      <c r="C70" s="12"/>
      <c r="F70" s="12"/>
      <c r="G70" s="10"/>
      <c r="H70" s="8"/>
      <c r="I70" s="12"/>
      <c r="J70" s="8"/>
      <c r="K70" s="8"/>
      <c r="L70" s="8"/>
      <c r="M70" s="8"/>
      <c r="N70" s="8"/>
      <c r="O70" s="8"/>
      <c r="P70" s="12"/>
      <c r="Q70" s="8"/>
      <c r="R70" s="12"/>
      <c r="T70" s="12"/>
      <c r="AH70" s="8"/>
      <c r="AI70" s="8"/>
      <c r="AJ70" s="8"/>
    </row>
    <row r="71" ht="14.25" customHeight="1">
      <c r="A71" s="44"/>
      <c r="B71" s="12"/>
      <c r="C71" s="12"/>
      <c r="F71" s="12"/>
      <c r="G71" s="10"/>
      <c r="H71" s="8"/>
      <c r="I71" s="12"/>
      <c r="J71" s="8"/>
      <c r="K71" s="8"/>
      <c r="L71" s="8"/>
      <c r="M71" s="8"/>
      <c r="N71" s="8"/>
      <c r="O71" s="8"/>
      <c r="P71" s="12"/>
      <c r="Q71" s="8"/>
      <c r="R71" s="12"/>
      <c r="T71" s="12"/>
      <c r="AH71" s="8"/>
      <c r="AI71" s="8"/>
      <c r="AJ71" s="8"/>
    </row>
    <row r="72" ht="14.25" customHeight="1">
      <c r="A72" s="44"/>
      <c r="B72" s="12"/>
      <c r="C72" s="12"/>
      <c r="F72" s="12"/>
      <c r="G72" s="10"/>
      <c r="H72" s="8"/>
      <c r="I72" s="12"/>
      <c r="J72" s="8"/>
      <c r="K72" s="8"/>
      <c r="L72" s="8"/>
      <c r="M72" s="8"/>
      <c r="N72" s="8"/>
      <c r="O72" s="8"/>
      <c r="P72" s="12"/>
      <c r="Q72" s="8"/>
      <c r="R72" s="12"/>
      <c r="T72" s="12"/>
      <c r="AH72" s="8"/>
      <c r="AI72" s="8"/>
      <c r="AJ72" s="8"/>
    </row>
    <row r="73" ht="14.25" customHeight="1">
      <c r="A73" s="44"/>
      <c r="B73" s="12"/>
      <c r="C73" s="12"/>
      <c r="F73" s="12"/>
      <c r="G73" s="10"/>
      <c r="H73" s="8"/>
      <c r="I73" s="12"/>
      <c r="J73" s="8"/>
      <c r="K73" s="8"/>
      <c r="L73" s="8"/>
      <c r="M73" s="8"/>
      <c r="N73" s="8"/>
      <c r="O73" s="8"/>
      <c r="P73" s="12"/>
      <c r="Q73" s="8"/>
      <c r="R73" s="12"/>
      <c r="T73" s="12"/>
      <c r="AH73" s="8"/>
      <c r="AI73" s="8"/>
      <c r="AJ73" s="8"/>
    </row>
    <row r="74" ht="14.25" customHeight="1">
      <c r="A74" s="44"/>
      <c r="B74" s="12"/>
      <c r="C74" s="12"/>
      <c r="F74" s="12"/>
      <c r="G74" s="10"/>
      <c r="H74" s="8"/>
      <c r="I74" s="12"/>
      <c r="J74" s="8"/>
      <c r="K74" s="8"/>
      <c r="L74" s="8"/>
      <c r="M74" s="8"/>
      <c r="N74" s="8"/>
      <c r="O74" s="8"/>
      <c r="P74" s="12"/>
      <c r="Q74" s="8"/>
      <c r="R74" s="12"/>
      <c r="T74" s="12"/>
      <c r="AH74" s="8"/>
      <c r="AI74" s="8"/>
      <c r="AJ74" s="8"/>
    </row>
    <row r="75" ht="14.25" customHeight="1">
      <c r="A75" s="44"/>
      <c r="B75" s="12"/>
      <c r="C75" s="12"/>
      <c r="F75" s="12"/>
      <c r="G75" s="10"/>
      <c r="H75" s="8"/>
      <c r="I75" s="12"/>
      <c r="J75" s="8"/>
      <c r="K75" s="8"/>
      <c r="L75" s="8"/>
      <c r="M75" s="8"/>
      <c r="N75" s="8"/>
      <c r="O75" s="8"/>
      <c r="P75" s="12"/>
      <c r="Q75" s="8"/>
      <c r="R75" s="12"/>
      <c r="T75" s="12"/>
      <c r="AH75" s="8"/>
      <c r="AI75" s="8"/>
      <c r="AJ75" s="8"/>
    </row>
    <row r="76" ht="14.25" customHeight="1">
      <c r="A76" s="44"/>
      <c r="B76" s="12"/>
      <c r="C76" s="12"/>
      <c r="F76" s="12"/>
      <c r="G76" s="10"/>
      <c r="H76" s="8"/>
      <c r="I76" s="12"/>
      <c r="J76" s="8"/>
      <c r="K76" s="8"/>
      <c r="L76" s="8"/>
      <c r="M76" s="8"/>
      <c r="N76" s="8"/>
      <c r="O76" s="8"/>
      <c r="P76" s="12"/>
      <c r="Q76" s="8"/>
      <c r="R76" s="12"/>
      <c r="T76" s="12"/>
      <c r="AH76" s="8"/>
      <c r="AI76" s="8"/>
      <c r="AJ76" s="8"/>
    </row>
    <row r="77" ht="14.25" customHeight="1">
      <c r="A77" s="44"/>
      <c r="B77" s="12"/>
      <c r="C77" s="12"/>
      <c r="F77" s="12"/>
      <c r="G77" s="10"/>
      <c r="H77" s="8"/>
      <c r="I77" s="12"/>
      <c r="J77" s="8"/>
      <c r="K77" s="8"/>
      <c r="L77" s="8"/>
      <c r="M77" s="8"/>
      <c r="N77" s="8"/>
      <c r="O77" s="8"/>
      <c r="P77" s="12"/>
      <c r="Q77" s="8"/>
      <c r="R77" s="12"/>
      <c r="T77" s="12"/>
      <c r="AH77" s="8"/>
      <c r="AI77" s="8"/>
      <c r="AJ77" s="8"/>
    </row>
    <row r="78" ht="14.25" customHeight="1">
      <c r="A78" s="44"/>
      <c r="B78" s="12"/>
      <c r="C78" s="12"/>
      <c r="F78" s="12"/>
      <c r="G78" s="10"/>
      <c r="H78" s="8"/>
      <c r="I78" s="12"/>
      <c r="J78" s="8"/>
      <c r="K78" s="8"/>
      <c r="L78" s="8"/>
      <c r="M78" s="8"/>
      <c r="N78" s="8"/>
      <c r="O78" s="8"/>
      <c r="P78" s="12"/>
      <c r="Q78" s="8"/>
      <c r="R78" s="12"/>
      <c r="T78" s="12"/>
      <c r="AH78" s="8"/>
      <c r="AI78" s="8"/>
      <c r="AJ78" s="8"/>
    </row>
    <row r="79" ht="14.25" customHeight="1">
      <c r="A79" s="44"/>
      <c r="B79" s="12"/>
      <c r="C79" s="12"/>
      <c r="F79" s="12"/>
      <c r="G79" s="10"/>
      <c r="H79" s="8"/>
      <c r="I79" s="12"/>
      <c r="J79" s="8"/>
      <c r="K79" s="8"/>
      <c r="L79" s="8"/>
      <c r="M79" s="8"/>
      <c r="N79" s="8"/>
      <c r="O79" s="8"/>
      <c r="P79" s="12"/>
      <c r="Q79" s="8"/>
      <c r="R79" s="12"/>
      <c r="T79" s="12"/>
      <c r="AH79" s="8"/>
      <c r="AI79" s="8"/>
      <c r="AJ79" s="8"/>
    </row>
    <row r="80" ht="14.25" customHeight="1">
      <c r="A80" s="44"/>
      <c r="B80" s="12"/>
      <c r="C80" s="12"/>
      <c r="F80" s="12"/>
      <c r="G80" s="10"/>
      <c r="H80" s="8"/>
      <c r="I80" s="12"/>
      <c r="J80" s="8"/>
      <c r="K80" s="8"/>
      <c r="L80" s="8"/>
      <c r="M80" s="8"/>
      <c r="N80" s="8"/>
      <c r="O80" s="8"/>
      <c r="P80" s="12"/>
      <c r="Q80" s="8"/>
      <c r="R80" s="12"/>
      <c r="T80" s="12"/>
      <c r="AH80" s="8"/>
      <c r="AI80" s="8"/>
      <c r="AJ80" s="8"/>
    </row>
    <row r="81" ht="14.25" customHeight="1">
      <c r="A81" s="44"/>
      <c r="B81" s="12"/>
      <c r="C81" s="12"/>
      <c r="F81" s="12"/>
      <c r="G81" s="10"/>
      <c r="H81" s="8"/>
      <c r="I81" s="12"/>
      <c r="J81" s="8"/>
      <c r="K81" s="8"/>
      <c r="L81" s="8"/>
      <c r="M81" s="8"/>
      <c r="N81" s="8"/>
      <c r="O81" s="8"/>
      <c r="P81" s="12"/>
      <c r="Q81" s="8"/>
      <c r="R81" s="12"/>
      <c r="T81" s="12"/>
      <c r="AH81" s="8"/>
      <c r="AI81" s="8"/>
      <c r="AJ81" s="8"/>
    </row>
    <row r="82" ht="14.25" customHeight="1">
      <c r="A82" s="44"/>
      <c r="B82" s="12"/>
      <c r="C82" s="12"/>
      <c r="F82" s="12"/>
      <c r="G82" s="10"/>
      <c r="H82" s="8"/>
      <c r="I82" s="12"/>
      <c r="J82" s="8"/>
      <c r="K82" s="8"/>
      <c r="L82" s="8"/>
      <c r="M82" s="8"/>
      <c r="N82" s="8"/>
      <c r="O82" s="8"/>
      <c r="P82" s="12"/>
      <c r="Q82" s="8"/>
      <c r="R82" s="12"/>
      <c r="T82" s="12"/>
      <c r="AH82" s="8"/>
      <c r="AI82" s="8"/>
      <c r="AJ82" s="8"/>
    </row>
    <row r="83" ht="14.25" customHeight="1">
      <c r="A83" s="44"/>
      <c r="B83" s="12"/>
      <c r="C83" s="12"/>
      <c r="F83" s="12"/>
      <c r="G83" s="10"/>
      <c r="H83" s="8"/>
      <c r="I83" s="12"/>
      <c r="J83" s="8"/>
      <c r="K83" s="8"/>
      <c r="L83" s="8"/>
      <c r="M83" s="8"/>
      <c r="N83" s="8"/>
      <c r="O83" s="8"/>
      <c r="P83" s="12"/>
      <c r="Q83" s="8"/>
      <c r="R83" s="12"/>
      <c r="T83" s="12"/>
      <c r="AH83" s="8"/>
      <c r="AI83" s="8"/>
      <c r="AJ83" s="8"/>
    </row>
    <row r="84" ht="14.25" customHeight="1">
      <c r="A84" s="44"/>
      <c r="B84" s="12"/>
      <c r="C84" s="12"/>
      <c r="F84" s="12"/>
      <c r="G84" s="10"/>
      <c r="H84" s="8"/>
      <c r="I84" s="12"/>
      <c r="J84" s="8"/>
      <c r="K84" s="8"/>
      <c r="L84" s="8"/>
      <c r="M84" s="8"/>
      <c r="N84" s="8"/>
      <c r="O84" s="8"/>
      <c r="P84" s="12"/>
      <c r="Q84" s="8"/>
      <c r="R84" s="12"/>
      <c r="T84" s="12"/>
      <c r="AH84" s="8"/>
      <c r="AI84" s="8"/>
      <c r="AJ84" s="8"/>
    </row>
    <row r="85" ht="14.25" customHeight="1">
      <c r="A85" s="44"/>
      <c r="B85" s="12"/>
      <c r="C85" s="12"/>
      <c r="F85" s="12"/>
      <c r="G85" s="10"/>
      <c r="H85" s="8"/>
      <c r="I85" s="12"/>
      <c r="J85" s="8"/>
      <c r="K85" s="8"/>
      <c r="L85" s="8"/>
      <c r="M85" s="8"/>
      <c r="N85" s="8"/>
      <c r="O85" s="8"/>
      <c r="P85" s="12"/>
      <c r="Q85" s="8"/>
      <c r="R85" s="12"/>
      <c r="T85" s="12"/>
      <c r="AH85" s="8"/>
      <c r="AI85" s="8"/>
      <c r="AJ85" s="8"/>
    </row>
    <row r="86" ht="14.25" customHeight="1">
      <c r="A86" s="44"/>
      <c r="B86" s="12"/>
      <c r="C86" s="12"/>
      <c r="F86" s="12"/>
      <c r="G86" s="10"/>
      <c r="H86" s="8"/>
      <c r="I86" s="12"/>
      <c r="J86" s="8"/>
      <c r="K86" s="8"/>
      <c r="L86" s="8"/>
      <c r="M86" s="8"/>
      <c r="N86" s="8"/>
      <c r="O86" s="8"/>
      <c r="P86" s="12"/>
      <c r="Q86" s="8"/>
      <c r="R86" s="12"/>
      <c r="T86" s="12"/>
      <c r="AH86" s="8"/>
      <c r="AI86" s="8"/>
      <c r="AJ86" s="8"/>
    </row>
    <row r="87" ht="14.25" customHeight="1">
      <c r="A87" s="44"/>
      <c r="B87" s="12"/>
      <c r="C87" s="12"/>
      <c r="F87" s="12"/>
      <c r="G87" s="10"/>
      <c r="H87" s="8"/>
      <c r="I87" s="12"/>
      <c r="J87" s="8"/>
      <c r="K87" s="8"/>
      <c r="L87" s="8"/>
      <c r="M87" s="8"/>
      <c r="N87" s="8"/>
      <c r="O87" s="8"/>
      <c r="P87" s="12"/>
      <c r="Q87" s="8"/>
      <c r="R87" s="12"/>
      <c r="T87" s="12"/>
      <c r="AH87" s="8"/>
      <c r="AI87" s="8"/>
      <c r="AJ87" s="8"/>
    </row>
    <row r="88" ht="14.25" customHeight="1">
      <c r="A88" s="44"/>
      <c r="B88" s="12"/>
      <c r="C88" s="12"/>
      <c r="F88" s="12"/>
      <c r="G88" s="10"/>
      <c r="H88" s="8"/>
      <c r="I88" s="12"/>
      <c r="J88" s="8"/>
      <c r="K88" s="8"/>
      <c r="L88" s="8"/>
      <c r="M88" s="8"/>
      <c r="N88" s="8"/>
      <c r="O88" s="8"/>
      <c r="P88" s="12"/>
      <c r="Q88" s="8"/>
      <c r="R88" s="12"/>
      <c r="T88" s="12"/>
      <c r="AH88" s="8"/>
      <c r="AI88" s="8"/>
      <c r="AJ88" s="8"/>
    </row>
    <row r="89" ht="14.25" customHeight="1">
      <c r="A89" s="44"/>
      <c r="B89" s="12"/>
      <c r="C89" s="12"/>
      <c r="F89" s="12"/>
      <c r="G89" s="10"/>
      <c r="H89" s="8"/>
      <c r="I89" s="12"/>
      <c r="J89" s="8"/>
      <c r="K89" s="8"/>
      <c r="L89" s="8"/>
      <c r="M89" s="8"/>
      <c r="N89" s="8"/>
      <c r="O89" s="8"/>
      <c r="P89" s="12"/>
      <c r="Q89" s="8"/>
      <c r="R89" s="12"/>
      <c r="T89" s="12"/>
      <c r="AH89" s="8"/>
      <c r="AI89" s="8"/>
      <c r="AJ89" s="8"/>
    </row>
    <row r="90" ht="14.25" customHeight="1">
      <c r="A90" s="44"/>
      <c r="B90" s="12"/>
      <c r="C90" s="12"/>
      <c r="F90" s="12"/>
      <c r="G90" s="10"/>
      <c r="H90" s="8"/>
      <c r="I90" s="12"/>
      <c r="J90" s="8"/>
      <c r="K90" s="8"/>
      <c r="L90" s="8"/>
      <c r="M90" s="8"/>
      <c r="N90" s="8"/>
      <c r="O90" s="8"/>
      <c r="P90" s="12"/>
      <c r="Q90" s="8"/>
      <c r="R90" s="12"/>
      <c r="T90" s="12"/>
      <c r="AH90" s="8"/>
      <c r="AI90" s="8"/>
      <c r="AJ90" s="8"/>
    </row>
    <row r="91" ht="14.25" customHeight="1">
      <c r="A91" s="44"/>
      <c r="B91" s="12"/>
      <c r="C91" s="12"/>
      <c r="F91" s="12"/>
      <c r="G91" s="10"/>
      <c r="H91" s="8"/>
      <c r="I91" s="12"/>
      <c r="J91" s="8"/>
      <c r="K91" s="8"/>
      <c r="L91" s="8"/>
      <c r="M91" s="8"/>
      <c r="N91" s="8"/>
      <c r="O91" s="8"/>
      <c r="P91" s="12"/>
      <c r="Q91" s="8"/>
      <c r="R91" s="12"/>
      <c r="T91" s="12"/>
      <c r="AH91" s="8"/>
      <c r="AI91" s="8"/>
      <c r="AJ91" s="8"/>
    </row>
    <row r="92" ht="14.25" customHeight="1">
      <c r="A92" s="44"/>
      <c r="B92" s="12"/>
      <c r="C92" s="12"/>
      <c r="F92" s="12"/>
      <c r="G92" s="10"/>
      <c r="H92" s="8"/>
      <c r="I92" s="12"/>
      <c r="J92" s="8"/>
      <c r="K92" s="8"/>
      <c r="L92" s="8"/>
      <c r="M92" s="8"/>
      <c r="N92" s="8"/>
      <c r="O92" s="8"/>
      <c r="P92" s="12"/>
      <c r="Q92" s="8"/>
      <c r="R92" s="12"/>
      <c r="T92" s="12"/>
      <c r="AH92" s="8"/>
      <c r="AI92" s="8"/>
      <c r="AJ92" s="8"/>
    </row>
    <row r="93" ht="14.25" customHeight="1">
      <c r="A93" s="44"/>
      <c r="B93" s="12"/>
      <c r="C93" s="12"/>
      <c r="F93" s="12"/>
      <c r="G93" s="10"/>
      <c r="H93" s="8"/>
      <c r="I93" s="12"/>
      <c r="J93" s="8"/>
      <c r="K93" s="8"/>
      <c r="L93" s="8"/>
      <c r="M93" s="8"/>
      <c r="N93" s="8"/>
      <c r="O93" s="8"/>
      <c r="P93" s="12"/>
      <c r="Q93" s="8"/>
      <c r="R93" s="12"/>
      <c r="T93" s="12"/>
      <c r="AH93" s="8"/>
      <c r="AI93" s="8"/>
      <c r="AJ93" s="8"/>
    </row>
    <row r="94" ht="14.25" customHeight="1">
      <c r="A94" s="44"/>
      <c r="B94" s="12"/>
      <c r="C94" s="12"/>
      <c r="F94" s="12"/>
      <c r="G94" s="10"/>
      <c r="H94" s="8"/>
      <c r="I94" s="12"/>
      <c r="J94" s="8"/>
      <c r="K94" s="8"/>
      <c r="L94" s="8"/>
      <c r="M94" s="8"/>
      <c r="N94" s="8"/>
      <c r="O94" s="8"/>
      <c r="P94" s="12"/>
      <c r="Q94" s="8"/>
      <c r="R94" s="12"/>
      <c r="T94" s="12"/>
      <c r="AH94" s="8"/>
      <c r="AI94" s="8"/>
      <c r="AJ94" s="8"/>
    </row>
    <row r="95" ht="14.25" customHeight="1">
      <c r="A95" s="44"/>
      <c r="B95" s="12"/>
      <c r="C95" s="12"/>
      <c r="F95" s="12"/>
      <c r="G95" s="10"/>
      <c r="H95" s="8"/>
      <c r="I95" s="12"/>
      <c r="J95" s="8"/>
      <c r="K95" s="8"/>
      <c r="L95" s="8"/>
      <c r="M95" s="8"/>
      <c r="N95" s="8"/>
      <c r="O95" s="8"/>
      <c r="P95" s="12"/>
      <c r="Q95" s="8"/>
      <c r="R95" s="12"/>
      <c r="T95" s="12"/>
      <c r="AH95" s="8"/>
      <c r="AI95" s="8"/>
      <c r="AJ95" s="8"/>
    </row>
    <row r="96" ht="14.25" customHeight="1">
      <c r="A96" s="44"/>
      <c r="B96" s="12"/>
      <c r="C96" s="12"/>
      <c r="F96" s="12"/>
      <c r="G96" s="10"/>
      <c r="H96" s="8"/>
      <c r="I96" s="12"/>
      <c r="J96" s="8"/>
      <c r="K96" s="8"/>
      <c r="L96" s="8"/>
      <c r="M96" s="8"/>
      <c r="N96" s="8"/>
      <c r="O96" s="8"/>
      <c r="P96" s="12"/>
      <c r="Q96" s="8"/>
      <c r="R96" s="12"/>
      <c r="T96" s="12"/>
      <c r="AH96" s="8"/>
      <c r="AI96" s="8"/>
      <c r="AJ96" s="8"/>
    </row>
    <row r="97" ht="14.25" customHeight="1">
      <c r="A97" s="44"/>
      <c r="B97" s="12"/>
      <c r="C97" s="12"/>
      <c r="F97" s="12"/>
      <c r="G97" s="10"/>
      <c r="H97" s="8"/>
      <c r="I97" s="12"/>
      <c r="J97" s="8"/>
      <c r="K97" s="8"/>
      <c r="L97" s="8"/>
      <c r="M97" s="8"/>
      <c r="N97" s="8"/>
      <c r="O97" s="8"/>
      <c r="P97" s="12"/>
      <c r="Q97" s="8"/>
      <c r="R97" s="12"/>
      <c r="T97" s="12"/>
      <c r="AH97" s="8"/>
      <c r="AI97" s="8"/>
      <c r="AJ97" s="8"/>
    </row>
    <row r="98" ht="14.25" customHeight="1">
      <c r="A98" s="44"/>
      <c r="B98" s="12"/>
      <c r="C98" s="12"/>
      <c r="F98" s="12"/>
      <c r="G98" s="10"/>
      <c r="H98" s="8"/>
      <c r="I98" s="12"/>
      <c r="J98" s="8"/>
      <c r="K98" s="8"/>
      <c r="L98" s="8"/>
      <c r="M98" s="8"/>
      <c r="N98" s="8"/>
      <c r="O98" s="8"/>
      <c r="P98" s="12"/>
      <c r="Q98" s="8"/>
      <c r="R98" s="12"/>
      <c r="T98" s="12"/>
      <c r="AH98" s="8"/>
      <c r="AI98" s="8"/>
      <c r="AJ98" s="8"/>
    </row>
    <row r="99" ht="14.25" customHeight="1">
      <c r="A99" s="44"/>
      <c r="B99" s="12"/>
      <c r="C99" s="12"/>
      <c r="F99" s="12"/>
      <c r="G99" s="10"/>
      <c r="H99" s="8"/>
      <c r="I99" s="12"/>
      <c r="J99" s="8"/>
      <c r="K99" s="8"/>
      <c r="L99" s="8"/>
      <c r="M99" s="8"/>
      <c r="N99" s="8"/>
      <c r="O99" s="8"/>
      <c r="P99" s="12"/>
      <c r="Q99" s="8"/>
      <c r="R99" s="12"/>
      <c r="T99" s="12"/>
      <c r="AH99" s="8"/>
      <c r="AI99" s="8"/>
      <c r="AJ99" s="8"/>
    </row>
    <row r="100" ht="14.25" customHeight="1">
      <c r="A100" s="44"/>
      <c r="B100" s="12"/>
      <c r="C100" s="12"/>
      <c r="F100" s="12"/>
      <c r="G100" s="10"/>
      <c r="H100" s="8"/>
      <c r="I100" s="12"/>
      <c r="J100" s="8"/>
      <c r="K100" s="8"/>
      <c r="L100" s="8"/>
      <c r="M100" s="8"/>
      <c r="N100" s="8"/>
      <c r="O100" s="8"/>
      <c r="P100" s="12"/>
      <c r="Q100" s="8"/>
      <c r="R100" s="12"/>
      <c r="T100" s="12"/>
      <c r="AH100" s="8"/>
      <c r="AI100" s="8"/>
      <c r="AJ100" s="8"/>
    </row>
    <row r="101" ht="14.25" customHeight="1">
      <c r="A101" s="44"/>
      <c r="B101" s="12"/>
      <c r="C101" s="12"/>
      <c r="F101" s="12"/>
      <c r="G101" s="10"/>
      <c r="H101" s="8"/>
      <c r="I101" s="12"/>
      <c r="J101" s="8"/>
      <c r="K101" s="8"/>
      <c r="L101" s="8"/>
      <c r="M101" s="8"/>
      <c r="N101" s="8"/>
      <c r="O101" s="8"/>
      <c r="P101" s="12"/>
      <c r="Q101" s="8"/>
      <c r="R101" s="12"/>
      <c r="T101" s="12"/>
      <c r="AH101" s="8"/>
      <c r="AI101" s="8"/>
      <c r="AJ101" s="8"/>
    </row>
    <row r="102" ht="14.25" customHeight="1">
      <c r="A102" s="44"/>
      <c r="B102" s="12"/>
      <c r="C102" s="12"/>
      <c r="F102" s="12"/>
      <c r="G102" s="10"/>
      <c r="H102" s="8"/>
      <c r="I102" s="12"/>
      <c r="J102" s="8"/>
      <c r="K102" s="8"/>
      <c r="L102" s="8"/>
      <c r="M102" s="8"/>
      <c r="N102" s="8"/>
      <c r="O102" s="8"/>
      <c r="P102" s="12"/>
      <c r="Q102" s="8"/>
      <c r="R102" s="12"/>
      <c r="T102" s="12"/>
      <c r="AH102" s="8"/>
      <c r="AI102" s="8"/>
      <c r="AJ102" s="8"/>
    </row>
    <row r="103" ht="14.25" customHeight="1">
      <c r="A103" s="44"/>
      <c r="B103" s="12"/>
      <c r="C103" s="12"/>
      <c r="F103" s="12"/>
      <c r="G103" s="10"/>
      <c r="H103" s="8"/>
      <c r="I103" s="12"/>
      <c r="J103" s="8"/>
      <c r="K103" s="8"/>
      <c r="L103" s="8"/>
      <c r="M103" s="8"/>
      <c r="N103" s="8"/>
      <c r="O103" s="8"/>
      <c r="P103" s="12"/>
      <c r="Q103" s="8"/>
      <c r="R103" s="12"/>
      <c r="T103" s="12"/>
      <c r="AH103" s="8"/>
      <c r="AI103" s="8"/>
      <c r="AJ103" s="8"/>
    </row>
    <row r="104" ht="14.25" customHeight="1">
      <c r="A104" s="44"/>
      <c r="B104" s="12"/>
      <c r="C104" s="12"/>
      <c r="F104" s="12"/>
      <c r="G104" s="10"/>
      <c r="H104" s="8"/>
      <c r="I104" s="12"/>
      <c r="J104" s="8"/>
      <c r="K104" s="8"/>
      <c r="L104" s="8"/>
      <c r="M104" s="8"/>
      <c r="N104" s="8"/>
      <c r="O104" s="8"/>
      <c r="P104" s="12"/>
      <c r="Q104" s="8"/>
      <c r="R104" s="12"/>
      <c r="T104" s="12"/>
      <c r="AH104" s="8"/>
      <c r="AI104" s="8"/>
      <c r="AJ104" s="8"/>
    </row>
    <row r="105" ht="14.25" customHeight="1">
      <c r="A105" s="44"/>
      <c r="B105" s="12"/>
      <c r="C105" s="12"/>
      <c r="F105" s="12"/>
      <c r="G105" s="10"/>
      <c r="H105" s="8"/>
      <c r="I105" s="12"/>
      <c r="J105" s="8"/>
      <c r="K105" s="8"/>
      <c r="L105" s="8"/>
      <c r="M105" s="8"/>
      <c r="N105" s="8"/>
      <c r="O105" s="8"/>
      <c r="P105" s="12"/>
      <c r="Q105" s="8"/>
      <c r="R105" s="12"/>
      <c r="T105" s="12"/>
      <c r="AH105" s="8"/>
      <c r="AI105" s="8"/>
      <c r="AJ105" s="8"/>
    </row>
    <row r="106" ht="14.25" customHeight="1">
      <c r="A106" s="44"/>
      <c r="B106" s="12"/>
      <c r="C106" s="12"/>
      <c r="D106" s="12"/>
      <c r="E106" s="12"/>
      <c r="F106" s="12"/>
      <c r="G106" s="10"/>
      <c r="H106" s="8"/>
      <c r="I106" s="12"/>
      <c r="J106" s="8"/>
      <c r="K106" s="8"/>
      <c r="L106" s="8"/>
      <c r="M106" s="8"/>
      <c r="N106" s="8"/>
      <c r="O106" s="8"/>
      <c r="P106" s="12"/>
      <c r="Q106" s="8"/>
      <c r="R106" s="12"/>
      <c r="T106" s="12"/>
      <c r="AH106" s="8"/>
      <c r="AI106" s="8"/>
      <c r="AJ106" s="8"/>
    </row>
    <row r="107" ht="14.25" customHeight="1">
      <c r="A107" s="44"/>
      <c r="B107" s="12"/>
      <c r="C107" s="12"/>
      <c r="D107" s="12"/>
      <c r="E107" s="12"/>
      <c r="F107" s="12"/>
      <c r="G107" s="10"/>
      <c r="H107" s="8"/>
      <c r="I107" s="12"/>
      <c r="J107" s="8"/>
      <c r="K107" s="8"/>
      <c r="L107" s="8"/>
      <c r="M107" s="8"/>
      <c r="N107" s="8"/>
      <c r="O107" s="8"/>
      <c r="P107" s="12"/>
      <c r="Q107" s="8"/>
      <c r="R107" s="12"/>
      <c r="T107" s="12"/>
      <c r="AH107" s="8"/>
      <c r="AI107" s="8"/>
      <c r="AJ107" s="8"/>
    </row>
    <row r="108" ht="14.25" customHeight="1">
      <c r="A108" s="44"/>
      <c r="B108" s="12"/>
      <c r="C108" s="12"/>
      <c r="D108" s="12"/>
      <c r="E108" s="12"/>
      <c r="F108" s="12"/>
      <c r="G108" s="10"/>
      <c r="H108" s="8"/>
      <c r="I108" s="12"/>
      <c r="J108" s="8"/>
      <c r="K108" s="8"/>
      <c r="L108" s="8"/>
      <c r="M108" s="8"/>
      <c r="N108" s="8"/>
      <c r="O108" s="8"/>
      <c r="P108" s="12"/>
      <c r="Q108" s="8"/>
      <c r="R108" s="12"/>
      <c r="T108" s="12"/>
      <c r="AH108" s="8"/>
      <c r="AI108" s="8"/>
      <c r="AJ108" s="8"/>
    </row>
    <row r="109" ht="14.25" customHeight="1">
      <c r="A109" s="44"/>
      <c r="B109" s="12"/>
      <c r="C109" s="12"/>
      <c r="D109" s="12"/>
      <c r="E109" s="12"/>
      <c r="F109" s="12"/>
      <c r="G109" s="10"/>
      <c r="H109" s="8"/>
      <c r="I109" s="12"/>
      <c r="J109" s="8"/>
      <c r="K109" s="8"/>
      <c r="L109" s="8"/>
      <c r="M109" s="8"/>
      <c r="N109" s="8"/>
      <c r="O109" s="8"/>
      <c r="P109" s="12"/>
      <c r="Q109" s="8"/>
      <c r="R109" s="12"/>
      <c r="T109" s="12"/>
      <c r="AH109" s="8"/>
      <c r="AI109" s="8"/>
      <c r="AJ109" s="8"/>
    </row>
    <row r="110" ht="14.25" customHeight="1">
      <c r="A110" s="44"/>
      <c r="B110" s="12"/>
      <c r="C110" s="12"/>
      <c r="D110" s="12"/>
      <c r="E110" s="12"/>
      <c r="F110" s="12"/>
      <c r="G110" s="10"/>
      <c r="H110" s="8"/>
      <c r="I110" s="12"/>
      <c r="J110" s="8"/>
      <c r="K110" s="8"/>
      <c r="L110" s="8"/>
      <c r="M110" s="8"/>
      <c r="N110" s="8"/>
      <c r="O110" s="8"/>
      <c r="P110" s="12"/>
      <c r="Q110" s="8"/>
      <c r="R110" s="12"/>
      <c r="T110" s="12"/>
      <c r="AH110" s="8"/>
      <c r="AI110" s="8"/>
      <c r="AJ110" s="8"/>
    </row>
    <row r="111" ht="14.25" customHeight="1">
      <c r="A111" s="44"/>
      <c r="B111" s="12"/>
      <c r="C111" s="12"/>
      <c r="D111" s="12"/>
      <c r="E111" s="12"/>
      <c r="F111" s="12"/>
      <c r="G111" s="10"/>
      <c r="H111" s="8"/>
      <c r="I111" s="12"/>
      <c r="J111" s="8"/>
      <c r="K111" s="8"/>
      <c r="L111" s="8"/>
      <c r="M111" s="8"/>
      <c r="N111" s="8"/>
      <c r="O111" s="8"/>
      <c r="P111" s="12"/>
      <c r="Q111" s="8"/>
      <c r="R111" s="12"/>
      <c r="T111" s="12"/>
      <c r="AH111" s="8"/>
      <c r="AI111" s="8"/>
      <c r="AJ111" s="8"/>
    </row>
    <row r="112" ht="14.25" customHeight="1">
      <c r="A112" s="44"/>
      <c r="B112" s="12"/>
      <c r="C112" s="12"/>
      <c r="D112" s="12"/>
      <c r="E112" s="12"/>
      <c r="F112" s="12"/>
      <c r="G112" s="10"/>
      <c r="H112" s="8"/>
      <c r="I112" s="12"/>
      <c r="J112" s="8"/>
      <c r="K112" s="8"/>
      <c r="L112" s="8"/>
      <c r="M112" s="8"/>
      <c r="N112" s="8"/>
      <c r="O112" s="8"/>
      <c r="P112" s="12"/>
      <c r="Q112" s="8"/>
      <c r="R112" s="12"/>
      <c r="T112" s="12"/>
      <c r="AH112" s="8"/>
      <c r="AI112" s="8"/>
      <c r="AJ112" s="8"/>
    </row>
    <row r="113" ht="14.25" customHeight="1">
      <c r="A113" s="44"/>
      <c r="B113" s="12"/>
      <c r="C113" s="12"/>
      <c r="D113" s="12"/>
      <c r="E113" s="12"/>
      <c r="F113" s="12"/>
      <c r="G113" s="10"/>
      <c r="H113" s="8"/>
      <c r="I113" s="12"/>
      <c r="J113" s="8"/>
      <c r="K113" s="8"/>
      <c r="L113" s="8"/>
      <c r="M113" s="8"/>
      <c r="N113" s="8"/>
      <c r="O113" s="8"/>
      <c r="P113" s="12"/>
      <c r="Q113" s="8"/>
      <c r="R113" s="12"/>
      <c r="T113" s="12"/>
      <c r="AH113" s="8"/>
      <c r="AI113" s="8"/>
      <c r="AJ113" s="8"/>
    </row>
    <row r="114" ht="14.25" customHeight="1">
      <c r="A114" s="44"/>
      <c r="B114" s="12"/>
      <c r="C114" s="12"/>
      <c r="D114" s="12"/>
      <c r="E114" s="12"/>
      <c r="F114" s="12"/>
      <c r="G114" s="10"/>
      <c r="H114" s="8"/>
      <c r="I114" s="12"/>
      <c r="J114" s="8"/>
      <c r="K114" s="8"/>
      <c r="L114" s="8"/>
      <c r="M114" s="8"/>
      <c r="N114" s="8"/>
      <c r="O114" s="8"/>
      <c r="P114" s="12"/>
      <c r="Q114" s="8"/>
      <c r="R114" s="12"/>
      <c r="T114" s="12"/>
      <c r="AH114" s="8"/>
      <c r="AI114" s="8"/>
      <c r="AJ114" s="8"/>
    </row>
    <row r="115" ht="14.25" customHeight="1">
      <c r="A115" s="44"/>
      <c r="B115" s="12"/>
      <c r="C115" s="12"/>
      <c r="D115" s="12"/>
      <c r="E115" s="12"/>
      <c r="F115" s="12"/>
      <c r="G115" s="10"/>
      <c r="H115" s="8"/>
      <c r="I115" s="12"/>
      <c r="J115" s="8"/>
      <c r="K115" s="8"/>
      <c r="L115" s="8"/>
      <c r="M115" s="8"/>
      <c r="N115" s="8"/>
      <c r="O115" s="8"/>
      <c r="P115" s="12"/>
      <c r="Q115" s="8"/>
      <c r="R115" s="12"/>
      <c r="T115" s="12"/>
      <c r="AH115" s="8"/>
      <c r="AI115" s="8"/>
      <c r="AJ115" s="8"/>
    </row>
    <row r="116" ht="14.25" customHeight="1">
      <c r="A116" s="44"/>
      <c r="B116" s="12"/>
      <c r="C116" s="12"/>
      <c r="D116" s="12"/>
      <c r="E116" s="12"/>
      <c r="F116" s="12"/>
      <c r="G116" s="10"/>
      <c r="H116" s="8"/>
      <c r="I116" s="12"/>
      <c r="J116" s="8"/>
      <c r="K116" s="8"/>
      <c r="L116" s="8"/>
      <c r="M116" s="8"/>
      <c r="N116" s="8"/>
      <c r="O116" s="8"/>
      <c r="P116" s="12"/>
      <c r="Q116" s="8"/>
      <c r="R116" s="12"/>
      <c r="T116" s="12"/>
      <c r="AH116" s="8"/>
      <c r="AI116" s="8"/>
      <c r="AJ116" s="8"/>
    </row>
    <row r="117" ht="14.25" customHeight="1">
      <c r="A117" s="44"/>
      <c r="B117" s="12"/>
      <c r="C117" s="12"/>
      <c r="D117" s="12"/>
      <c r="E117" s="12"/>
      <c r="F117" s="12"/>
      <c r="G117" s="10"/>
      <c r="H117" s="8"/>
      <c r="I117" s="12"/>
      <c r="J117" s="8"/>
      <c r="K117" s="8"/>
      <c r="L117" s="8"/>
      <c r="M117" s="8"/>
      <c r="N117" s="8"/>
      <c r="O117" s="8"/>
      <c r="P117" s="12"/>
      <c r="Q117" s="8"/>
      <c r="R117" s="12"/>
      <c r="T117" s="12"/>
      <c r="AH117" s="8"/>
      <c r="AI117" s="8"/>
      <c r="AJ117" s="8"/>
    </row>
    <row r="118" ht="14.25" customHeight="1">
      <c r="A118" s="44"/>
      <c r="B118" s="12"/>
      <c r="C118" s="12"/>
      <c r="D118" s="12"/>
      <c r="E118" s="12"/>
      <c r="F118" s="12"/>
      <c r="G118" s="10"/>
      <c r="H118" s="8"/>
      <c r="I118" s="12"/>
      <c r="J118" s="8"/>
      <c r="K118" s="8"/>
      <c r="L118" s="8"/>
      <c r="M118" s="8"/>
      <c r="N118" s="8"/>
      <c r="O118" s="8"/>
      <c r="P118" s="12"/>
      <c r="Q118" s="8"/>
      <c r="R118" s="12"/>
      <c r="T118" s="12"/>
      <c r="AH118" s="8"/>
      <c r="AI118" s="8"/>
      <c r="AJ118" s="8"/>
    </row>
    <row r="119" ht="14.25" customHeight="1">
      <c r="A119" s="44"/>
      <c r="B119" s="12"/>
      <c r="C119" s="12"/>
      <c r="D119" s="12"/>
      <c r="E119" s="12"/>
      <c r="F119" s="12"/>
      <c r="G119" s="10"/>
      <c r="H119" s="8"/>
      <c r="I119" s="12"/>
      <c r="J119" s="8"/>
      <c r="K119" s="8"/>
      <c r="L119" s="8"/>
      <c r="M119" s="8"/>
      <c r="N119" s="8"/>
      <c r="O119" s="8"/>
      <c r="P119" s="12"/>
      <c r="Q119" s="8"/>
      <c r="R119" s="12"/>
      <c r="T119" s="12"/>
      <c r="AH119" s="8"/>
      <c r="AI119" s="8"/>
      <c r="AJ119" s="8"/>
    </row>
    <row r="120" ht="14.25" customHeight="1">
      <c r="A120" s="44"/>
      <c r="B120" s="12"/>
      <c r="C120" s="12"/>
      <c r="D120" s="12"/>
      <c r="E120" s="12"/>
      <c r="F120" s="12"/>
      <c r="G120" s="10"/>
      <c r="H120" s="8"/>
      <c r="I120" s="12"/>
      <c r="J120" s="8"/>
      <c r="K120" s="8"/>
      <c r="L120" s="8"/>
      <c r="M120" s="8"/>
      <c r="N120" s="8"/>
      <c r="O120" s="8"/>
      <c r="P120" s="12"/>
      <c r="Q120" s="8"/>
      <c r="R120" s="12"/>
      <c r="T120" s="12"/>
      <c r="AH120" s="8"/>
      <c r="AI120" s="8"/>
      <c r="AJ120" s="8"/>
    </row>
    <row r="121" ht="14.25" customHeight="1">
      <c r="A121" s="44"/>
      <c r="B121" s="12"/>
      <c r="C121" s="12"/>
      <c r="D121" s="12"/>
      <c r="E121" s="12"/>
      <c r="F121" s="12"/>
      <c r="G121" s="10"/>
      <c r="H121" s="8"/>
      <c r="I121" s="12"/>
      <c r="J121" s="8"/>
      <c r="K121" s="8"/>
      <c r="L121" s="8"/>
      <c r="M121" s="8"/>
      <c r="N121" s="8"/>
      <c r="O121" s="8"/>
      <c r="P121" s="12"/>
      <c r="Q121" s="8"/>
      <c r="R121" s="12"/>
      <c r="T121" s="12"/>
      <c r="AH121" s="8"/>
      <c r="AI121" s="8"/>
      <c r="AJ121" s="8"/>
    </row>
    <row r="122" ht="14.25" customHeight="1">
      <c r="A122" s="44"/>
      <c r="B122" s="12"/>
      <c r="C122" s="12"/>
      <c r="D122" s="12"/>
      <c r="E122" s="12"/>
      <c r="F122" s="12"/>
      <c r="G122" s="10"/>
      <c r="H122" s="8"/>
      <c r="I122" s="12"/>
      <c r="J122" s="8"/>
      <c r="K122" s="8"/>
      <c r="L122" s="8"/>
      <c r="M122" s="8"/>
      <c r="N122" s="8"/>
      <c r="O122" s="8"/>
      <c r="P122" s="12"/>
      <c r="Q122" s="8"/>
      <c r="R122" s="12"/>
      <c r="T122" s="12"/>
      <c r="AH122" s="8"/>
      <c r="AI122" s="8"/>
      <c r="AJ122" s="8"/>
    </row>
    <row r="123" ht="14.25" customHeight="1">
      <c r="A123" s="44"/>
      <c r="B123" s="12"/>
      <c r="C123" s="12"/>
      <c r="D123" s="12"/>
      <c r="E123" s="12"/>
      <c r="F123" s="12"/>
      <c r="G123" s="10"/>
      <c r="H123" s="8"/>
      <c r="I123" s="12"/>
      <c r="J123" s="8"/>
      <c r="K123" s="8"/>
      <c r="L123" s="8"/>
      <c r="M123" s="8"/>
      <c r="N123" s="8"/>
      <c r="O123" s="8"/>
      <c r="P123" s="12"/>
      <c r="Q123" s="8"/>
      <c r="R123" s="12"/>
      <c r="T123" s="12"/>
      <c r="AH123" s="8"/>
      <c r="AI123" s="8"/>
      <c r="AJ123" s="8"/>
    </row>
    <row r="124" ht="14.25" customHeight="1">
      <c r="A124" s="44"/>
      <c r="B124" s="12"/>
      <c r="C124" s="12"/>
      <c r="D124" s="12"/>
      <c r="E124" s="12"/>
      <c r="F124" s="12"/>
      <c r="G124" s="10"/>
      <c r="H124" s="8"/>
      <c r="I124" s="12"/>
      <c r="J124" s="8"/>
      <c r="K124" s="8"/>
      <c r="L124" s="8"/>
      <c r="M124" s="8"/>
      <c r="N124" s="8"/>
      <c r="O124" s="8"/>
      <c r="P124" s="12"/>
      <c r="Q124" s="8"/>
      <c r="R124" s="12"/>
      <c r="T124" s="12"/>
      <c r="AH124" s="8"/>
      <c r="AI124" s="8"/>
      <c r="AJ124" s="8"/>
    </row>
    <row r="125" ht="14.25" customHeight="1">
      <c r="A125" s="44"/>
      <c r="B125" s="12"/>
      <c r="C125" s="12"/>
      <c r="D125" s="12"/>
      <c r="E125" s="12"/>
      <c r="F125" s="12"/>
      <c r="G125" s="10"/>
      <c r="H125" s="8"/>
      <c r="I125" s="12"/>
      <c r="J125" s="8"/>
      <c r="K125" s="8"/>
      <c r="L125" s="8"/>
      <c r="M125" s="8"/>
      <c r="N125" s="8"/>
      <c r="O125" s="8"/>
      <c r="P125" s="12"/>
      <c r="Q125" s="8"/>
      <c r="R125" s="12"/>
      <c r="T125" s="12"/>
      <c r="AH125" s="8"/>
      <c r="AI125" s="8"/>
      <c r="AJ125" s="8"/>
    </row>
    <row r="126" ht="14.25" customHeight="1">
      <c r="A126" s="44"/>
      <c r="B126" s="12"/>
      <c r="C126" s="12"/>
      <c r="D126" s="12"/>
      <c r="E126" s="12"/>
      <c r="F126" s="12"/>
      <c r="G126" s="10"/>
      <c r="H126" s="8"/>
      <c r="I126" s="12"/>
      <c r="J126" s="8"/>
      <c r="K126" s="8"/>
      <c r="L126" s="8"/>
      <c r="M126" s="8"/>
      <c r="N126" s="8"/>
      <c r="O126" s="8"/>
      <c r="P126" s="12"/>
      <c r="Q126" s="8"/>
      <c r="R126" s="12"/>
      <c r="T126" s="12"/>
      <c r="AH126" s="8"/>
      <c r="AI126" s="8"/>
      <c r="AJ126" s="8"/>
    </row>
    <row r="127" ht="14.25" customHeight="1">
      <c r="A127" s="44"/>
      <c r="B127" s="12"/>
      <c r="C127" s="12"/>
      <c r="D127" s="12"/>
      <c r="E127" s="12"/>
      <c r="F127" s="12"/>
      <c r="G127" s="10"/>
      <c r="H127" s="8"/>
      <c r="I127" s="12"/>
      <c r="J127" s="8"/>
      <c r="K127" s="8"/>
      <c r="L127" s="8"/>
      <c r="M127" s="8"/>
      <c r="N127" s="8"/>
      <c r="O127" s="8"/>
      <c r="P127" s="12"/>
      <c r="Q127" s="8"/>
      <c r="R127" s="12"/>
      <c r="T127" s="12"/>
      <c r="AH127" s="8"/>
      <c r="AI127" s="8"/>
      <c r="AJ127" s="8"/>
    </row>
    <row r="128" ht="14.25" customHeight="1">
      <c r="A128" s="44"/>
      <c r="B128" s="12"/>
      <c r="C128" s="12"/>
      <c r="D128" s="12"/>
      <c r="E128" s="12"/>
      <c r="F128" s="12"/>
      <c r="G128" s="10"/>
      <c r="H128" s="8"/>
      <c r="I128" s="12"/>
      <c r="J128" s="8"/>
      <c r="K128" s="8"/>
      <c r="L128" s="8"/>
      <c r="M128" s="8"/>
      <c r="N128" s="8"/>
      <c r="O128" s="8"/>
      <c r="P128" s="12"/>
      <c r="Q128" s="8"/>
      <c r="R128" s="12"/>
      <c r="T128" s="12"/>
      <c r="AH128" s="8"/>
      <c r="AI128" s="8"/>
      <c r="AJ128" s="8"/>
    </row>
    <row r="129" ht="14.25" customHeight="1">
      <c r="A129" s="44"/>
      <c r="B129" s="12"/>
      <c r="C129" s="12"/>
      <c r="D129" s="12"/>
      <c r="E129" s="12"/>
      <c r="F129" s="12"/>
      <c r="G129" s="10"/>
      <c r="H129" s="8"/>
      <c r="I129" s="12"/>
      <c r="J129" s="8"/>
      <c r="K129" s="8"/>
      <c r="L129" s="8"/>
      <c r="M129" s="8"/>
      <c r="N129" s="8"/>
      <c r="O129" s="8"/>
      <c r="P129" s="12"/>
      <c r="Q129" s="8"/>
      <c r="R129" s="12"/>
      <c r="T129" s="12"/>
      <c r="AH129" s="8"/>
      <c r="AI129" s="8"/>
      <c r="AJ129" s="8"/>
    </row>
    <row r="130" ht="14.25" customHeight="1">
      <c r="A130" s="44"/>
      <c r="B130" s="12"/>
      <c r="C130" s="12"/>
      <c r="D130" s="12"/>
      <c r="E130" s="12"/>
      <c r="F130" s="12"/>
      <c r="G130" s="10"/>
      <c r="H130" s="8"/>
      <c r="I130" s="12"/>
      <c r="J130" s="8"/>
      <c r="K130" s="8"/>
      <c r="L130" s="8"/>
      <c r="M130" s="8"/>
      <c r="N130" s="8"/>
      <c r="O130" s="8"/>
      <c r="P130" s="12"/>
      <c r="Q130" s="8"/>
      <c r="R130" s="12"/>
      <c r="T130" s="12"/>
      <c r="AH130" s="8"/>
      <c r="AI130" s="8"/>
      <c r="AJ130" s="8"/>
    </row>
    <row r="131" ht="14.25" customHeight="1">
      <c r="A131" s="44"/>
      <c r="B131" s="12"/>
      <c r="C131" s="12"/>
      <c r="D131" s="12"/>
      <c r="E131" s="12"/>
      <c r="F131" s="12"/>
      <c r="G131" s="10"/>
      <c r="H131" s="8"/>
      <c r="I131" s="12"/>
      <c r="J131" s="8"/>
      <c r="K131" s="8"/>
      <c r="L131" s="8"/>
      <c r="M131" s="8"/>
      <c r="N131" s="8"/>
      <c r="O131" s="8"/>
      <c r="P131" s="12"/>
      <c r="Q131" s="8"/>
      <c r="R131" s="12"/>
      <c r="T131" s="12"/>
      <c r="AH131" s="8"/>
      <c r="AI131" s="8"/>
      <c r="AJ131" s="8"/>
    </row>
    <row r="132" ht="14.25" customHeight="1">
      <c r="A132" s="44"/>
      <c r="B132" s="12"/>
      <c r="C132" s="12"/>
      <c r="D132" s="12"/>
      <c r="E132" s="12"/>
      <c r="F132" s="12"/>
      <c r="G132" s="10"/>
      <c r="H132" s="8"/>
      <c r="I132" s="12"/>
      <c r="J132" s="8"/>
      <c r="K132" s="8"/>
      <c r="L132" s="8"/>
      <c r="M132" s="8"/>
      <c r="N132" s="8"/>
      <c r="O132" s="8"/>
      <c r="P132" s="12"/>
      <c r="Q132" s="8"/>
      <c r="R132" s="12"/>
      <c r="T132" s="12"/>
      <c r="AH132" s="8"/>
      <c r="AI132" s="8"/>
      <c r="AJ132" s="8"/>
    </row>
    <row r="133" ht="14.25" customHeight="1">
      <c r="A133" s="44"/>
      <c r="B133" s="12"/>
      <c r="C133" s="12"/>
      <c r="D133" s="12"/>
      <c r="E133" s="12"/>
      <c r="F133" s="12"/>
      <c r="G133" s="10"/>
      <c r="H133" s="8"/>
      <c r="I133" s="12"/>
      <c r="J133" s="8"/>
      <c r="K133" s="8"/>
      <c r="L133" s="8"/>
      <c r="M133" s="8"/>
      <c r="N133" s="8"/>
      <c r="O133" s="8"/>
      <c r="P133" s="12"/>
      <c r="Q133" s="8"/>
      <c r="R133" s="12"/>
      <c r="T133" s="12"/>
      <c r="AH133" s="8"/>
      <c r="AI133" s="8"/>
      <c r="AJ133" s="8"/>
    </row>
    <row r="134" ht="14.25" customHeight="1">
      <c r="A134" s="44"/>
      <c r="B134" s="12"/>
      <c r="C134" s="12"/>
      <c r="D134" s="12"/>
      <c r="E134" s="12"/>
      <c r="F134" s="12"/>
      <c r="G134" s="10"/>
      <c r="H134" s="8"/>
      <c r="I134" s="12"/>
      <c r="J134" s="8"/>
      <c r="K134" s="8"/>
      <c r="L134" s="8"/>
      <c r="M134" s="8"/>
      <c r="N134" s="8"/>
      <c r="O134" s="8"/>
      <c r="P134" s="12"/>
      <c r="Q134" s="8"/>
      <c r="R134" s="12"/>
      <c r="T134" s="12"/>
      <c r="AH134" s="8"/>
      <c r="AI134" s="8"/>
      <c r="AJ134" s="8"/>
    </row>
    <row r="135" ht="14.25" customHeight="1">
      <c r="A135" s="44"/>
      <c r="B135" s="12"/>
      <c r="C135" s="12"/>
      <c r="D135" s="12"/>
      <c r="E135" s="12"/>
      <c r="F135" s="12"/>
      <c r="G135" s="10"/>
      <c r="H135" s="8"/>
      <c r="I135" s="12"/>
      <c r="J135" s="8"/>
      <c r="K135" s="8"/>
      <c r="L135" s="8"/>
      <c r="M135" s="8"/>
      <c r="N135" s="8"/>
      <c r="O135" s="8"/>
      <c r="P135" s="12"/>
      <c r="Q135" s="8"/>
      <c r="R135" s="12"/>
      <c r="T135" s="12"/>
      <c r="AH135" s="8"/>
      <c r="AI135" s="8"/>
      <c r="AJ135" s="8"/>
    </row>
    <row r="136" ht="14.25" customHeight="1">
      <c r="A136" s="44"/>
      <c r="B136" s="12"/>
      <c r="C136" s="12"/>
      <c r="D136" s="12"/>
      <c r="E136" s="12"/>
      <c r="F136" s="12"/>
      <c r="G136" s="10"/>
      <c r="H136" s="8"/>
      <c r="I136" s="12"/>
      <c r="J136" s="8"/>
      <c r="K136" s="8"/>
      <c r="L136" s="8"/>
      <c r="M136" s="8"/>
      <c r="N136" s="8"/>
      <c r="O136" s="8"/>
      <c r="P136" s="12"/>
      <c r="Q136" s="8"/>
      <c r="R136" s="12"/>
      <c r="T136" s="12"/>
      <c r="AH136" s="8"/>
      <c r="AI136" s="8"/>
      <c r="AJ136" s="8"/>
    </row>
    <row r="137" ht="14.25" customHeight="1">
      <c r="A137" s="44"/>
      <c r="B137" s="12"/>
      <c r="C137" s="12"/>
      <c r="D137" s="12"/>
      <c r="E137" s="12"/>
      <c r="F137" s="12"/>
      <c r="G137" s="10"/>
      <c r="H137" s="8"/>
      <c r="I137" s="12"/>
      <c r="J137" s="8"/>
      <c r="K137" s="8"/>
      <c r="L137" s="8"/>
      <c r="M137" s="8"/>
      <c r="N137" s="8"/>
      <c r="O137" s="8"/>
      <c r="P137" s="12"/>
      <c r="Q137" s="8"/>
      <c r="R137" s="12"/>
      <c r="T137" s="12"/>
      <c r="AH137" s="8"/>
      <c r="AI137" s="8"/>
      <c r="AJ137" s="8"/>
    </row>
    <row r="138" ht="14.25" customHeight="1">
      <c r="A138" s="44"/>
      <c r="B138" s="12"/>
      <c r="C138" s="12"/>
      <c r="D138" s="12"/>
      <c r="E138" s="12"/>
      <c r="F138" s="12"/>
      <c r="G138" s="10"/>
      <c r="H138" s="8"/>
      <c r="I138" s="12"/>
      <c r="J138" s="8"/>
      <c r="K138" s="8"/>
      <c r="L138" s="8"/>
      <c r="M138" s="8"/>
      <c r="N138" s="8"/>
      <c r="O138" s="8"/>
      <c r="P138" s="12"/>
      <c r="Q138" s="8"/>
      <c r="R138" s="12"/>
      <c r="T138" s="12"/>
      <c r="AH138" s="8"/>
      <c r="AI138" s="8"/>
      <c r="AJ138" s="8"/>
    </row>
    <row r="139" ht="14.25" customHeight="1">
      <c r="A139" s="44"/>
      <c r="B139" s="12"/>
      <c r="C139" s="12"/>
      <c r="D139" s="12"/>
      <c r="E139" s="12"/>
      <c r="F139" s="12"/>
      <c r="G139" s="10"/>
      <c r="H139" s="8"/>
      <c r="I139" s="12"/>
      <c r="J139" s="8"/>
      <c r="K139" s="8"/>
      <c r="L139" s="8"/>
      <c r="M139" s="8"/>
      <c r="N139" s="8"/>
      <c r="O139" s="8"/>
      <c r="P139" s="12"/>
      <c r="Q139" s="8"/>
      <c r="R139" s="12"/>
      <c r="T139" s="12"/>
      <c r="AH139" s="8"/>
      <c r="AI139" s="8"/>
      <c r="AJ139" s="8"/>
    </row>
    <row r="140" ht="14.25" customHeight="1">
      <c r="A140" s="44"/>
      <c r="B140" s="12"/>
      <c r="C140" s="12"/>
      <c r="D140" s="12"/>
      <c r="E140" s="12"/>
      <c r="F140" s="12"/>
      <c r="G140" s="10"/>
      <c r="H140" s="8"/>
      <c r="I140" s="12"/>
      <c r="J140" s="8"/>
      <c r="K140" s="8"/>
      <c r="L140" s="8"/>
      <c r="M140" s="8"/>
      <c r="N140" s="8"/>
      <c r="O140" s="8"/>
      <c r="P140" s="12"/>
      <c r="Q140" s="8"/>
      <c r="R140" s="12"/>
      <c r="T140" s="12"/>
      <c r="AH140" s="8"/>
      <c r="AI140" s="8"/>
      <c r="AJ140" s="8"/>
    </row>
    <row r="141" ht="14.25" customHeight="1">
      <c r="A141" s="44"/>
      <c r="B141" s="12"/>
      <c r="C141" s="12"/>
      <c r="D141" s="12"/>
      <c r="E141" s="12"/>
      <c r="F141" s="12"/>
      <c r="G141" s="10"/>
      <c r="H141" s="8"/>
      <c r="I141" s="12"/>
      <c r="J141" s="8"/>
      <c r="K141" s="8"/>
      <c r="L141" s="8"/>
      <c r="M141" s="8"/>
      <c r="N141" s="8"/>
      <c r="O141" s="8"/>
      <c r="P141" s="12"/>
      <c r="Q141" s="8"/>
      <c r="R141" s="12"/>
      <c r="T141" s="12"/>
      <c r="AH141" s="8"/>
      <c r="AI141" s="8"/>
      <c r="AJ141" s="8"/>
    </row>
    <row r="142" ht="14.25" customHeight="1">
      <c r="A142" s="44"/>
      <c r="B142" s="12"/>
      <c r="C142" s="12"/>
      <c r="D142" s="12"/>
      <c r="E142" s="12"/>
      <c r="F142" s="12"/>
      <c r="G142" s="10"/>
      <c r="H142" s="8"/>
      <c r="I142" s="12"/>
      <c r="J142" s="8"/>
      <c r="K142" s="8"/>
      <c r="L142" s="8"/>
      <c r="M142" s="8"/>
      <c r="N142" s="8"/>
      <c r="O142" s="8"/>
      <c r="P142" s="12"/>
      <c r="Q142" s="8"/>
      <c r="R142" s="12"/>
      <c r="T142" s="12"/>
      <c r="AH142" s="8"/>
      <c r="AI142" s="8"/>
      <c r="AJ142" s="8"/>
    </row>
    <row r="143" ht="14.25" customHeight="1">
      <c r="A143" s="44"/>
      <c r="B143" s="12"/>
      <c r="C143" s="12"/>
      <c r="D143" s="12"/>
      <c r="E143" s="12"/>
      <c r="F143" s="12"/>
      <c r="G143" s="10"/>
      <c r="H143" s="8"/>
      <c r="I143" s="12"/>
      <c r="J143" s="8"/>
      <c r="K143" s="8"/>
      <c r="L143" s="8"/>
      <c r="M143" s="8"/>
      <c r="N143" s="8"/>
      <c r="O143" s="8"/>
      <c r="P143" s="12"/>
      <c r="Q143" s="8"/>
      <c r="R143" s="12"/>
      <c r="T143" s="12"/>
      <c r="AH143" s="8"/>
      <c r="AI143" s="8"/>
      <c r="AJ143" s="8"/>
    </row>
    <row r="144" ht="14.25" customHeight="1">
      <c r="A144" s="44"/>
      <c r="B144" s="12"/>
      <c r="C144" s="12"/>
      <c r="D144" s="12"/>
      <c r="E144" s="12"/>
      <c r="F144" s="12"/>
      <c r="G144" s="10"/>
      <c r="H144" s="8"/>
      <c r="I144" s="12"/>
      <c r="J144" s="8"/>
      <c r="K144" s="8"/>
      <c r="L144" s="8"/>
      <c r="M144" s="8"/>
      <c r="N144" s="8"/>
      <c r="O144" s="8"/>
      <c r="P144" s="12"/>
      <c r="Q144" s="8"/>
      <c r="R144" s="12"/>
      <c r="T144" s="12"/>
      <c r="AH144" s="8"/>
      <c r="AI144" s="8"/>
      <c r="AJ144" s="8"/>
    </row>
    <row r="145" ht="14.25" customHeight="1">
      <c r="A145" s="44"/>
      <c r="B145" s="12"/>
      <c r="C145" s="12"/>
      <c r="D145" s="12"/>
      <c r="E145" s="12"/>
      <c r="F145" s="12"/>
      <c r="G145" s="10"/>
      <c r="H145" s="8"/>
      <c r="I145" s="12"/>
      <c r="J145" s="8"/>
      <c r="K145" s="8"/>
      <c r="L145" s="8"/>
      <c r="M145" s="8"/>
      <c r="N145" s="8"/>
      <c r="O145" s="8"/>
      <c r="P145" s="12"/>
      <c r="Q145" s="8"/>
      <c r="R145" s="12"/>
      <c r="T145" s="12"/>
      <c r="AH145" s="8"/>
      <c r="AI145" s="8"/>
      <c r="AJ145" s="8"/>
    </row>
    <row r="146" ht="14.25" customHeight="1">
      <c r="A146" s="44"/>
      <c r="B146" s="12"/>
      <c r="C146" s="12"/>
      <c r="D146" s="12"/>
      <c r="E146" s="12"/>
      <c r="F146" s="12"/>
      <c r="G146" s="10"/>
      <c r="H146" s="8"/>
      <c r="I146" s="12"/>
      <c r="J146" s="8"/>
      <c r="K146" s="8"/>
      <c r="L146" s="8"/>
      <c r="M146" s="8"/>
      <c r="N146" s="8"/>
      <c r="O146" s="8"/>
      <c r="P146" s="12"/>
      <c r="Q146" s="8"/>
      <c r="R146" s="12"/>
      <c r="T146" s="12"/>
      <c r="AH146" s="8"/>
      <c r="AI146" s="8"/>
      <c r="AJ146" s="8"/>
    </row>
    <row r="147" ht="14.25" customHeight="1">
      <c r="A147" s="44"/>
      <c r="B147" s="12"/>
      <c r="C147" s="12"/>
      <c r="D147" s="12"/>
      <c r="E147" s="12"/>
      <c r="F147" s="12"/>
      <c r="G147" s="10"/>
      <c r="H147" s="8"/>
      <c r="I147" s="12"/>
      <c r="J147" s="8"/>
      <c r="K147" s="8"/>
      <c r="L147" s="8"/>
      <c r="M147" s="8"/>
      <c r="N147" s="8"/>
      <c r="O147" s="8"/>
      <c r="P147" s="12"/>
      <c r="Q147" s="8"/>
      <c r="R147" s="12"/>
      <c r="T147" s="12"/>
      <c r="AH147" s="8"/>
      <c r="AI147" s="8"/>
      <c r="AJ147" s="8"/>
    </row>
    <row r="148" ht="14.25" customHeight="1">
      <c r="A148" s="44"/>
      <c r="B148" s="12"/>
      <c r="C148" s="12"/>
      <c r="D148" s="12"/>
      <c r="E148" s="12"/>
      <c r="F148" s="12"/>
      <c r="G148" s="10"/>
      <c r="H148" s="8"/>
      <c r="I148" s="12"/>
      <c r="J148" s="8"/>
      <c r="K148" s="8"/>
      <c r="L148" s="8"/>
      <c r="M148" s="8"/>
      <c r="N148" s="8"/>
      <c r="O148" s="8"/>
      <c r="P148" s="12"/>
      <c r="Q148" s="8"/>
      <c r="R148" s="12"/>
      <c r="T148" s="12"/>
      <c r="AH148" s="8"/>
      <c r="AI148" s="8"/>
      <c r="AJ148" s="8"/>
    </row>
    <row r="149" ht="14.25" customHeight="1">
      <c r="A149" s="44"/>
      <c r="B149" s="12"/>
      <c r="C149" s="12"/>
      <c r="D149" s="12"/>
      <c r="E149" s="12"/>
      <c r="F149" s="12"/>
      <c r="G149" s="10"/>
      <c r="H149" s="8"/>
      <c r="I149" s="12"/>
      <c r="J149" s="8"/>
      <c r="K149" s="8"/>
      <c r="L149" s="8"/>
      <c r="M149" s="8"/>
      <c r="N149" s="8"/>
      <c r="O149" s="8"/>
      <c r="P149" s="12"/>
      <c r="Q149" s="8"/>
      <c r="R149" s="12"/>
      <c r="T149" s="12"/>
      <c r="AH149" s="8"/>
      <c r="AI149" s="8"/>
      <c r="AJ149" s="8"/>
    </row>
    <row r="150" ht="14.25" customHeight="1">
      <c r="A150" s="44"/>
      <c r="B150" s="12"/>
      <c r="C150" s="12"/>
      <c r="D150" s="12"/>
      <c r="E150" s="12"/>
      <c r="F150" s="12"/>
      <c r="G150" s="10"/>
      <c r="H150" s="8"/>
      <c r="I150" s="12"/>
      <c r="J150" s="8"/>
      <c r="K150" s="8"/>
      <c r="L150" s="8"/>
      <c r="M150" s="8"/>
      <c r="N150" s="8"/>
      <c r="O150" s="8"/>
      <c r="P150" s="12"/>
      <c r="Q150" s="8"/>
      <c r="R150" s="12"/>
      <c r="T150" s="12"/>
      <c r="AH150" s="8"/>
      <c r="AI150" s="8"/>
      <c r="AJ150" s="8"/>
    </row>
    <row r="151" ht="14.25" customHeight="1">
      <c r="A151" s="44"/>
      <c r="B151" s="12"/>
      <c r="C151" s="12"/>
      <c r="D151" s="12"/>
      <c r="E151" s="12"/>
      <c r="F151" s="12"/>
      <c r="G151" s="10"/>
      <c r="H151" s="8"/>
      <c r="I151" s="12"/>
      <c r="J151" s="8"/>
      <c r="K151" s="8"/>
      <c r="L151" s="8"/>
      <c r="M151" s="8"/>
      <c r="N151" s="8"/>
      <c r="O151" s="8"/>
      <c r="P151" s="12"/>
      <c r="Q151" s="8"/>
      <c r="R151" s="12"/>
      <c r="T151" s="12"/>
      <c r="AH151" s="8"/>
      <c r="AI151" s="8"/>
      <c r="AJ151" s="8"/>
    </row>
    <row r="152" ht="14.25" customHeight="1">
      <c r="A152" s="44"/>
      <c r="B152" s="12"/>
      <c r="C152" s="12"/>
      <c r="D152" s="12"/>
      <c r="E152" s="12"/>
      <c r="F152" s="12"/>
      <c r="G152" s="10"/>
      <c r="H152" s="8"/>
      <c r="I152" s="12"/>
      <c r="J152" s="8"/>
      <c r="K152" s="8"/>
      <c r="L152" s="8"/>
      <c r="M152" s="8"/>
      <c r="N152" s="8"/>
      <c r="O152" s="8"/>
      <c r="P152" s="12"/>
      <c r="Q152" s="8"/>
      <c r="R152" s="12"/>
      <c r="T152" s="12"/>
      <c r="AH152" s="8"/>
      <c r="AI152" s="8"/>
      <c r="AJ152" s="8"/>
    </row>
    <row r="153" ht="14.25" customHeight="1">
      <c r="A153" s="44"/>
      <c r="B153" s="12"/>
      <c r="C153" s="12"/>
      <c r="D153" s="12"/>
      <c r="E153" s="12"/>
      <c r="F153" s="12"/>
      <c r="G153" s="10"/>
      <c r="H153" s="8"/>
      <c r="I153" s="12"/>
      <c r="J153" s="8"/>
      <c r="K153" s="8"/>
      <c r="L153" s="8"/>
      <c r="M153" s="8"/>
      <c r="N153" s="8"/>
      <c r="O153" s="8"/>
      <c r="P153" s="12"/>
      <c r="Q153" s="8"/>
      <c r="R153" s="12"/>
      <c r="T153" s="12"/>
      <c r="AH153" s="8"/>
      <c r="AI153" s="8"/>
      <c r="AJ153" s="8"/>
    </row>
    <row r="154" ht="14.25" customHeight="1">
      <c r="A154" s="44"/>
      <c r="B154" s="12"/>
      <c r="C154" s="12"/>
      <c r="D154" s="12"/>
      <c r="E154" s="12"/>
      <c r="F154" s="12"/>
      <c r="G154" s="10"/>
      <c r="H154" s="8"/>
      <c r="I154" s="12"/>
      <c r="J154" s="8"/>
      <c r="K154" s="8"/>
      <c r="L154" s="8"/>
      <c r="M154" s="8"/>
      <c r="N154" s="8"/>
      <c r="O154" s="8"/>
      <c r="P154" s="12"/>
      <c r="Q154" s="8"/>
      <c r="R154" s="12"/>
      <c r="T154" s="12"/>
      <c r="AH154" s="8"/>
      <c r="AI154" s="8"/>
      <c r="AJ154" s="8"/>
    </row>
    <row r="155" ht="14.25" customHeight="1">
      <c r="A155" s="44"/>
      <c r="B155" s="12"/>
      <c r="C155" s="12"/>
      <c r="D155" s="12"/>
      <c r="E155" s="12"/>
      <c r="F155" s="12"/>
      <c r="G155" s="10"/>
      <c r="H155" s="8"/>
      <c r="I155" s="12"/>
      <c r="J155" s="8"/>
      <c r="K155" s="8"/>
      <c r="L155" s="8"/>
      <c r="M155" s="8"/>
      <c r="N155" s="8"/>
      <c r="O155" s="8"/>
      <c r="P155" s="12"/>
      <c r="Q155" s="8"/>
      <c r="R155" s="12"/>
      <c r="T155" s="12"/>
      <c r="AH155" s="8"/>
      <c r="AI155" s="8"/>
      <c r="AJ155" s="8"/>
    </row>
    <row r="156" ht="14.25" customHeight="1">
      <c r="A156" s="44"/>
      <c r="B156" s="12"/>
      <c r="C156" s="12"/>
      <c r="D156" s="12"/>
      <c r="E156" s="12"/>
      <c r="F156" s="12"/>
      <c r="G156" s="10"/>
      <c r="H156" s="8"/>
      <c r="I156" s="12"/>
      <c r="J156" s="8"/>
      <c r="K156" s="8"/>
      <c r="L156" s="8"/>
      <c r="M156" s="8"/>
      <c r="N156" s="8"/>
      <c r="O156" s="8"/>
      <c r="P156" s="12"/>
      <c r="Q156" s="8"/>
      <c r="R156" s="12"/>
      <c r="T156" s="12"/>
      <c r="AH156" s="8"/>
      <c r="AI156" s="8"/>
      <c r="AJ156" s="8"/>
    </row>
    <row r="157" ht="14.25" customHeight="1">
      <c r="A157" s="44"/>
      <c r="B157" s="12"/>
      <c r="C157" s="12"/>
      <c r="D157" s="12"/>
      <c r="E157" s="12"/>
      <c r="F157" s="12"/>
      <c r="G157" s="10"/>
      <c r="H157" s="8"/>
      <c r="I157" s="12"/>
      <c r="J157" s="8"/>
      <c r="K157" s="8"/>
      <c r="L157" s="8"/>
      <c r="M157" s="8"/>
      <c r="N157" s="8"/>
      <c r="O157" s="8"/>
      <c r="P157" s="12"/>
      <c r="Q157" s="8"/>
      <c r="R157" s="12"/>
      <c r="T157" s="12"/>
      <c r="AH157" s="8"/>
      <c r="AI157" s="8"/>
      <c r="AJ157" s="8"/>
    </row>
    <row r="158" ht="14.25" customHeight="1">
      <c r="A158" s="44"/>
      <c r="B158" s="12"/>
      <c r="C158" s="12"/>
      <c r="D158" s="12"/>
      <c r="E158" s="12"/>
      <c r="F158" s="12"/>
      <c r="G158" s="10"/>
      <c r="H158" s="8"/>
      <c r="I158" s="12"/>
      <c r="J158" s="8"/>
      <c r="K158" s="8"/>
      <c r="L158" s="8"/>
      <c r="M158" s="8"/>
      <c r="N158" s="8"/>
      <c r="O158" s="8"/>
      <c r="P158" s="12"/>
      <c r="Q158" s="8"/>
      <c r="R158" s="12"/>
      <c r="T158" s="12"/>
      <c r="AH158" s="8"/>
      <c r="AI158" s="8"/>
      <c r="AJ158" s="8"/>
    </row>
    <row r="159" ht="14.25" customHeight="1">
      <c r="A159" s="44"/>
      <c r="B159" s="12"/>
      <c r="C159" s="12"/>
      <c r="D159" s="12"/>
      <c r="E159" s="12"/>
      <c r="F159" s="12"/>
      <c r="G159" s="10"/>
      <c r="H159" s="8"/>
      <c r="I159" s="12"/>
      <c r="J159" s="8"/>
      <c r="K159" s="8"/>
      <c r="L159" s="8"/>
      <c r="M159" s="8"/>
      <c r="N159" s="8"/>
      <c r="O159" s="8"/>
      <c r="P159" s="12"/>
      <c r="Q159" s="8"/>
      <c r="R159" s="12"/>
      <c r="T159" s="12"/>
      <c r="AH159" s="8"/>
      <c r="AI159" s="8"/>
      <c r="AJ159" s="8"/>
    </row>
    <row r="160" ht="14.25" customHeight="1">
      <c r="A160" s="44"/>
      <c r="B160" s="12"/>
      <c r="C160" s="12"/>
      <c r="D160" s="12"/>
      <c r="E160" s="12"/>
      <c r="F160" s="12"/>
      <c r="G160" s="10"/>
      <c r="H160" s="8"/>
      <c r="I160" s="12"/>
      <c r="J160" s="8"/>
      <c r="K160" s="8"/>
      <c r="L160" s="8"/>
      <c r="M160" s="8"/>
      <c r="N160" s="8"/>
      <c r="O160" s="8"/>
      <c r="P160" s="12"/>
      <c r="Q160" s="8"/>
      <c r="R160" s="12"/>
      <c r="T160" s="12"/>
      <c r="AH160" s="8"/>
      <c r="AI160" s="8"/>
      <c r="AJ160" s="8"/>
    </row>
    <row r="161" ht="14.25" customHeight="1">
      <c r="A161" s="44"/>
      <c r="B161" s="12"/>
      <c r="C161" s="12"/>
      <c r="D161" s="12"/>
      <c r="E161" s="12"/>
      <c r="F161" s="12"/>
      <c r="G161" s="10"/>
      <c r="H161" s="8"/>
      <c r="I161" s="12"/>
      <c r="J161" s="8"/>
      <c r="K161" s="8"/>
      <c r="L161" s="8"/>
      <c r="M161" s="8"/>
      <c r="N161" s="8"/>
      <c r="O161" s="8"/>
      <c r="P161" s="12"/>
      <c r="Q161" s="8"/>
      <c r="R161" s="12"/>
      <c r="T161" s="12"/>
      <c r="AH161" s="8"/>
      <c r="AI161" s="8"/>
      <c r="AJ161" s="8"/>
    </row>
    <row r="162" ht="14.25" customHeight="1">
      <c r="A162" s="44"/>
      <c r="B162" s="12"/>
      <c r="C162" s="12"/>
      <c r="D162" s="12"/>
      <c r="E162" s="12"/>
      <c r="F162" s="12"/>
      <c r="G162" s="10"/>
      <c r="H162" s="8"/>
      <c r="I162" s="12"/>
      <c r="J162" s="8"/>
      <c r="K162" s="8"/>
      <c r="L162" s="8"/>
      <c r="M162" s="8"/>
      <c r="N162" s="8"/>
      <c r="O162" s="8"/>
      <c r="P162" s="12"/>
      <c r="Q162" s="8"/>
      <c r="R162" s="12"/>
      <c r="T162" s="12"/>
      <c r="AH162" s="8"/>
      <c r="AI162" s="8"/>
      <c r="AJ162" s="8"/>
    </row>
    <row r="163" ht="14.25" customHeight="1">
      <c r="A163" s="44"/>
      <c r="B163" s="12"/>
      <c r="C163" s="12"/>
      <c r="D163" s="12"/>
      <c r="E163" s="12"/>
      <c r="F163" s="12"/>
      <c r="G163" s="10"/>
      <c r="H163" s="8"/>
      <c r="I163" s="12"/>
      <c r="J163" s="8"/>
      <c r="K163" s="8"/>
      <c r="L163" s="8"/>
      <c r="M163" s="8"/>
      <c r="N163" s="8"/>
      <c r="O163" s="8"/>
      <c r="P163" s="12"/>
      <c r="Q163" s="8"/>
      <c r="R163" s="12"/>
      <c r="T163" s="12"/>
      <c r="AH163" s="8"/>
      <c r="AI163" s="8"/>
      <c r="AJ163" s="8"/>
    </row>
    <row r="164" ht="14.25" customHeight="1">
      <c r="A164" s="44"/>
      <c r="B164" s="12"/>
      <c r="C164" s="12"/>
      <c r="D164" s="12"/>
      <c r="E164" s="12"/>
      <c r="F164" s="12"/>
      <c r="G164" s="10"/>
      <c r="H164" s="8"/>
      <c r="I164" s="12"/>
      <c r="J164" s="8"/>
      <c r="K164" s="8"/>
      <c r="L164" s="8"/>
      <c r="M164" s="8"/>
      <c r="N164" s="8"/>
      <c r="O164" s="8"/>
      <c r="P164" s="12"/>
      <c r="Q164" s="8"/>
      <c r="R164" s="12"/>
      <c r="T164" s="12"/>
      <c r="AH164" s="8"/>
      <c r="AI164" s="8"/>
      <c r="AJ164" s="8"/>
    </row>
    <row r="165" ht="14.25" customHeight="1">
      <c r="A165" s="44"/>
      <c r="B165" s="12"/>
      <c r="C165" s="12"/>
      <c r="D165" s="12"/>
      <c r="E165" s="12"/>
      <c r="F165" s="12"/>
      <c r="G165" s="10"/>
      <c r="H165" s="8"/>
      <c r="I165" s="12"/>
      <c r="J165" s="8"/>
      <c r="K165" s="8"/>
      <c r="L165" s="8"/>
      <c r="M165" s="8"/>
      <c r="N165" s="8"/>
      <c r="O165" s="8"/>
      <c r="P165" s="12"/>
      <c r="Q165" s="8"/>
      <c r="R165" s="12"/>
      <c r="T165" s="12"/>
      <c r="AH165" s="8"/>
      <c r="AI165" s="8"/>
      <c r="AJ165" s="8"/>
    </row>
    <row r="166" ht="14.25" customHeight="1">
      <c r="A166" s="44"/>
      <c r="B166" s="12"/>
      <c r="C166" s="12"/>
      <c r="D166" s="12"/>
      <c r="E166" s="12"/>
      <c r="F166" s="12"/>
      <c r="G166" s="10"/>
      <c r="H166" s="8"/>
      <c r="I166" s="12"/>
      <c r="J166" s="8"/>
      <c r="K166" s="8"/>
      <c r="L166" s="8"/>
      <c r="M166" s="8"/>
      <c r="N166" s="8"/>
      <c r="O166" s="8"/>
      <c r="P166" s="12"/>
      <c r="Q166" s="8"/>
      <c r="R166" s="12"/>
      <c r="T166" s="12"/>
      <c r="AH166" s="8"/>
      <c r="AI166" s="8"/>
      <c r="AJ166" s="8"/>
    </row>
    <row r="167" ht="14.25" customHeight="1">
      <c r="A167" s="44"/>
      <c r="B167" s="12"/>
      <c r="C167" s="12"/>
      <c r="D167" s="12"/>
      <c r="E167" s="12"/>
      <c r="F167" s="12"/>
      <c r="G167" s="10"/>
      <c r="H167" s="8"/>
      <c r="I167" s="12"/>
      <c r="J167" s="8"/>
      <c r="K167" s="8"/>
      <c r="L167" s="8"/>
      <c r="M167" s="8"/>
      <c r="N167" s="8"/>
      <c r="O167" s="8"/>
      <c r="P167" s="12"/>
      <c r="Q167" s="8"/>
      <c r="R167" s="12"/>
      <c r="T167" s="12"/>
      <c r="AH167" s="8"/>
      <c r="AI167" s="8"/>
      <c r="AJ167" s="8"/>
    </row>
    <row r="168" ht="14.25" customHeight="1">
      <c r="A168" s="44"/>
      <c r="B168" s="12"/>
      <c r="C168" s="12"/>
      <c r="D168" s="12"/>
      <c r="E168" s="12"/>
      <c r="F168" s="12"/>
      <c r="G168" s="10"/>
      <c r="H168" s="8"/>
      <c r="I168" s="12"/>
      <c r="J168" s="8"/>
      <c r="K168" s="8"/>
      <c r="L168" s="8"/>
      <c r="M168" s="8"/>
      <c r="N168" s="8"/>
      <c r="O168" s="8"/>
      <c r="P168" s="12"/>
      <c r="Q168" s="8"/>
      <c r="R168" s="12"/>
      <c r="T168" s="12"/>
      <c r="AH168" s="8"/>
      <c r="AI168" s="8"/>
      <c r="AJ168" s="8"/>
    </row>
    <row r="169" ht="14.25" customHeight="1">
      <c r="A169" s="44"/>
      <c r="B169" s="12"/>
      <c r="C169" s="12"/>
      <c r="D169" s="12"/>
      <c r="E169" s="12"/>
      <c r="F169" s="12"/>
      <c r="G169" s="10"/>
      <c r="H169" s="8"/>
      <c r="I169" s="12"/>
      <c r="J169" s="8"/>
      <c r="K169" s="8"/>
      <c r="L169" s="8"/>
      <c r="M169" s="8"/>
      <c r="N169" s="8"/>
      <c r="O169" s="8"/>
      <c r="P169" s="12"/>
      <c r="Q169" s="8"/>
      <c r="R169" s="12"/>
      <c r="T169" s="12"/>
      <c r="AH169" s="8"/>
      <c r="AI169" s="8"/>
      <c r="AJ169" s="8"/>
    </row>
    <row r="170" ht="14.25" customHeight="1">
      <c r="A170" s="44"/>
      <c r="B170" s="12"/>
      <c r="C170" s="12"/>
      <c r="D170" s="12"/>
      <c r="E170" s="12"/>
      <c r="F170" s="12"/>
      <c r="G170" s="10"/>
      <c r="H170" s="8"/>
      <c r="I170" s="12"/>
      <c r="J170" s="8"/>
      <c r="K170" s="8"/>
      <c r="L170" s="8"/>
      <c r="M170" s="8"/>
      <c r="N170" s="8"/>
      <c r="O170" s="8"/>
      <c r="P170" s="12"/>
      <c r="Q170" s="8"/>
      <c r="R170" s="12"/>
      <c r="T170" s="12"/>
      <c r="AH170" s="8"/>
      <c r="AI170" s="8"/>
      <c r="AJ170" s="8"/>
    </row>
    <row r="171" ht="14.25" customHeight="1">
      <c r="A171" s="44"/>
      <c r="B171" s="12"/>
      <c r="C171" s="12"/>
      <c r="D171" s="12"/>
      <c r="E171" s="12"/>
      <c r="F171" s="12"/>
      <c r="G171" s="10"/>
      <c r="H171" s="8"/>
      <c r="I171" s="12"/>
      <c r="J171" s="8"/>
      <c r="K171" s="8"/>
      <c r="L171" s="8"/>
      <c r="M171" s="8"/>
      <c r="N171" s="8"/>
      <c r="O171" s="8"/>
      <c r="P171" s="12"/>
      <c r="Q171" s="8"/>
      <c r="R171" s="12"/>
      <c r="T171" s="12"/>
      <c r="AH171" s="8"/>
      <c r="AI171" s="8"/>
      <c r="AJ171" s="8"/>
    </row>
    <row r="172" ht="14.25" customHeight="1">
      <c r="A172" s="44"/>
      <c r="B172" s="12"/>
      <c r="C172" s="12"/>
      <c r="D172" s="12"/>
      <c r="E172" s="12"/>
      <c r="F172" s="12"/>
      <c r="G172" s="10"/>
      <c r="H172" s="8"/>
      <c r="I172" s="12"/>
      <c r="J172" s="8"/>
      <c r="K172" s="8"/>
      <c r="L172" s="8"/>
      <c r="M172" s="8"/>
      <c r="N172" s="8"/>
      <c r="O172" s="8"/>
      <c r="P172" s="12"/>
      <c r="Q172" s="8"/>
      <c r="R172" s="12"/>
      <c r="T172" s="12"/>
      <c r="AH172" s="8"/>
      <c r="AI172" s="8"/>
      <c r="AJ172" s="8"/>
    </row>
    <row r="173" ht="14.25" customHeight="1">
      <c r="A173" s="44"/>
      <c r="B173" s="12"/>
      <c r="C173" s="12"/>
      <c r="D173" s="12"/>
      <c r="E173" s="12"/>
      <c r="F173" s="12"/>
      <c r="G173" s="10"/>
      <c r="H173" s="8"/>
      <c r="I173" s="12"/>
      <c r="J173" s="8"/>
      <c r="K173" s="8"/>
      <c r="L173" s="8"/>
      <c r="M173" s="8"/>
      <c r="N173" s="8"/>
      <c r="O173" s="8"/>
      <c r="P173" s="12"/>
      <c r="Q173" s="8"/>
      <c r="R173" s="12"/>
      <c r="T173" s="12"/>
      <c r="AH173" s="8"/>
      <c r="AI173" s="8"/>
      <c r="AJ173" s="8"/>
    </row>
    <row r="174" ht="14.25" customHeight="1">
      <c r="A174" s="44"/>
      <c r="B174" s="12"/>
      <c r="C174" s="12"/>
      <c r="D174" s="12"/>
      <c r="E174" s="12"/>
      <c r="F174" s="12"/>
      <c r="G174" s="10"/>
      <c r="H174" s="8"/>
      <c r="I174" s="12"/>
      <c r="J174" s="8"/>
      <c r="K174" s="8"/>
      <c r="L174" s="8"/>
      <c r="M174" s="8"/>
      <c r="N174" s="8"/>
      <c r="O174" s="8"/>
      <c r="P174" s="12"/>
      <c r="Q174" s="8"/>
      <c r="R174" s="12"/>
      <c r="T174" s="12"/>
      <c r="AH174" s="8"/>
      <c r="AI174" s="8"/>
      <c r="AJ174" s="8"/>
    </row>
    <row r="175" ht="14.25" customHeight="1">
      <c r="A175" s="44"/>
      <c r="B175" s="12"/>
      <c r="C175" s="12"/>
      <c r="D175" s="12"/>
      <c r="E175" s="12"/>
      <c r="F175" s="12"/>
      <c r="G175" s="10"/>
      <c r="H175" s="8"/>
      <c r="I175" s="12"/>
      <c r="J175" s="8"/>
      <c r="K175" s="8"/>
      <c r="L175" s="8"/>
      <c r="M175" s="8"/>
      <c r="N175" s="8"/>
      <c r="O175" s="8"/>
      <c r="P175" s="12"/>
      <c r="Q175" s="8"/>
      <c r="R175" s="12"/>
      <c r="T175" s="12"/>
      <c r="AH175" s="8"/>
      <c r="AI175" s="8"/>
      <c r="AJ175" s="8"/>
    </row>
    <row r="176" ht="14.25" customHeight="1">
      <c r="A176" s="44"/>
      <c r="B176" s="12"/>
      <c r="C176" s="12"/>
      <c r="D176" s="12"/>
      <c r="E176" s="12"/>
      <c r="F176" s="12"/>
      <c r="G176" s="10"/>
      <c r="H176" s="8"/>
      <c r="I176" s="12"/>
      <c r="J176" s="8"/>
      <c r="K176" s="8"/>
      <c r="L176" s="8"/>
      <c r="M176" s="8"/>
      <c r="N176" s="8"/>
      <c r="O176" s="8"/>
      <c r="P176" s="12"/>
      <c r="Q176" s="8"/>
      <c r="R176" s="12"/>
      <c r="T176" s="12"/>
      <c r="AH176" s="8"/>
      <c r="AI176" s="8"/>
      <c r="AJ176" s="8"/>
    </row>
    <row r="177" ht="14.25" customHeight="1">
      <c r="A177" s="44"/>
      <c r="B177" s="12"/>
      <c r="C177" s="12"/>
      <c r="D177" s="12"/>
      <c r="E177" s="12"/>
      <c r="F177" s="12"/>
      <c r="G177" s="10"/>
      <c r="H177" s="8"/>
      <c r="I177" s="12"/>
      <c r="J177" s="8"/>
      <c r="K177" s="8"/>
      <c r="L177" s="8"/>
      <c r="M177" s="8"/>
      <c r="N177" s="8"/>
      <c r="O177" s="8"/>
      <c r="P177" s="12"/>
      <c r="Q177" s="8"/>
      <c r="R177" s="12"/>
      <c r="T177" s="12"/>
      <c r="AH177" s="8"/>
      <c r="AI177" s="8"/>
      <c r="AJ177" s="8"/>
    </row>
    <row r="178" ht="14.25" customHeight="1">
      <c r="A178" s="44"/>
      <c r="B178" s="12"/>
      <c r="C178" s="12"/>
      <c r="D178" s="12"/>
      <c r="E178" s="12"/>
      <c r="F178" s="12"/>
      <c r="G178" s="10"/>
      <c r="H178" s="8"/>
      <c r="I178" s="12"/>
      <c r="J178" s="8"/>
      <c r="K178" s="8"/>
      <c r="L178" s="8"/>
      <c r="M178" s="8"/>
      <c r="N178" s="8"/>
      <c r="O178" s="8"/>
      <c r="P178" s="12"/>
      <c r="Q178" s="8"/>
      <c r="R178" s="12"/>
      <c r="T178" s="12"/>
      <c r="AH178" s="8"/>
      <c r="AI178" s="8"/>
      <c r="AJ178" s="8"/>
    </row>
    <row r="179" ht="14.25" customHeight="1">
      <c r="A179" s="44"/>
      <c r="B179" s="12"/>
      <c r="C179" s="12"/>
      <c r="D179" s="12"/>
      <c r="E179" s="12"/>
      <c r="F179" s="12"/>
      <c r="G179" s="10"/>
      <c r="H179" s="8"/>
      <c r="I179" s="12"/>
      <c r="J179" s="8"/>
      <c r="K179" s="8"/>
      <c r="L179" s="8"/>
      <c r="M179" s="8"/>
      <c r="N179" s="8"/>
      <c r="O179" s="8"/>
      <c r="P179" s="12"/>
      <c r="Q179" s="8"/>
      <c r="R179" s="12"/>
      <c r="T179" s="12"/>
      <c r="AH179" s="8"/>
      <c r="AI179" s="8"/>
      <c r="AJ179" s="8"/>
    </row>
    <row r="180" ht="14.25" customHeight="1">
      <c r="A180" s="44"/>
      <c r="B180" s="12"/>
      <c r="C180" s="12"/>
      <c r="D180" s="12"/>
      <c r="E180" s="12"/>
      <c r="F180" s="12"/>
      <c r="G180" s="10"/>
      <c r="H180" s="8"/>
      <c r="I180" s="12"/>
      <c r="J180" s="8"/>
      <c r="K180" s="8"/>
      <c r="L180" s="8"/>
      <c r="M180" s="8"/>
      <c r="N180" s="8"/>
      <c r="O180" s="8"/>
      <c r="P180" s="12"/>
      <c r="Q180" s="8"/>
      <c r="R180" s="12"/>
      <c r="T180" s="12"/>
      <c r="AH180" s="8"/>
      <c r="AI180" s="8"/>
      <c r="AJ180" s="8"/>
    </row>
    <row r="181" ht="14.25" customHeight="1">
      <c r="A181" s="44"/>
      <c r="B181" s="12"/>
      <c r="C181" s="12"/>
      <c r="D181" s="12"/>
      <c r="E181" s="12"/>
      <c r="F181" s="12"/>
      <c r="G181" s="10"/>
      <c r="H181" s="8"/>
      <c r="I181" s="12"/>
      <c r="J181" s="8"/>
      <c r="K181" s="8"/>
      <c r="L181" s="8"/>
      <c r="M181" s="8"/>
      <c r="N181" s="8"/>
      <c r="O181" s="8"/>
      <c r="P181" s="12"/>
      <c r="Q181" s="8"/>
      <c r="R181" s="12"/>
      <c r="T181" s="12"/>
      <c r="AH181" s="8"/>
      <c r="AI181" s="8"/>
      <c r="AJ181" s="8"/>
    </row>
    <row r="182" ht="14.25" customHeight="1">
      <c r="A182" s="44"/>
      <c r="B182" s="12"/>
      <c r="C182" s="12"/>
      <c r="D182" s="12"/>
      <c r="E182" s="12"/>
      <c r="F182" s="12"/>
      <c r="G182" s="10"/>
      <c r="H182" s="8"/>
      <c r="I182" s="12"/>
      <c r="J182" s="8"/>
      <c r="K182" s="8"/>
      <c r="L182" s="8"/>
      <c r="M182" s="8"/>
      <c r="N182" s="8"/>
      <c r="O182" s="8"/>
      <c r="P182" s="12"/>
      <c r="Q182" s="8"/>
      <c r="R182" s="12"/>
      <c r="T182" s="12"/>
      <c r="AH182" s="8"/>
      <c r="AI182" s="8"/>
      <c r="AJ182" s="8"/>
    </row>
    <row r="183" ht="14.25" customHeight="1">
      <c r="A183" s="44"/>
      <c r="B183" s="12"/>
      <c r="C183" s="12"/>
      <c r="D183" s="12"/>
      <c r="E183" s="12"/>
      <c r="F183" s="12"/>
      <c r="G183" s="10"/>
      <c r="H183" s="8"/>
      <c r="I183" s="12"/>
      <c r="J183" s="8"/>
      <c r="K183" s="8"/>
      <c r="L183" s="8"/>
      <c r="M183" s="8"/>
      <c r="N183" s="8"/>
      <c r="O183" s="8"/>
      <c r="P183" s="12"/>
      <c r="Q183" s="8"/>
      <c r="R183" s="12"/>
      <c r="T183" s="12"/>
      <c r="AH183" s="8"/>
      <c r="AI183" s="8"/>
      <c r="AJ183" s="8"/>
    </row>
    <row r="184" ht="14.25" customHeight="1">
      <c r="A184" s="44"/>
      <c r="B184" s="12"/>
      <c r="C184" s="12"/>
      <c r="D184" s="12"/>
      <c r="E184" s="12"/>
      <c r="F184" s="12"/>
      <c r="G184" s="10"/>
      <c r="H184" s="8"/>
      <c r="I184" s="12"/>
      <c r="J184" s="8"/>
      <c r="K184" s="8"/>
      <c r="L184" s="8"/>
      <c r="M184" s="8"/>
      <c r="N184" s="8"/>
      <c r="O184" s="8"/>
      <c r="P184" s="12"/>
      <c r="Q184" s="8"/>
      <c r="R184" s="12"/>
      <c r="T184" s="12"/>
      <c r="AH184" s="8"/>
      <c r="AI184" s="8"/>
      <c r="AJ184" s="8"/>
    </row>
    <row r="185" ht="14.25" customHeight="1">
      <c r="A185" s="44"/>
      <c r="B185" s="12"/>
      <c r="C185" s="12"/>
      <c r="D185" s="12"/>
      <c r="E185" s="12"/>
      <c r="F185" s="12"/>
      <c r="G185" s="10"/>
      <c r="H185" s="8"/>
      <c r="I185" s="12"/>
      <c r="J185" s="8"/>
      <c r="K185" s="8"/>
      <c r="L185" s="8"/>
      <c r="M185" s="8"/>
      <c r="N185" s="8"/>
      <c r="O185" s="8"/>
      <c r="P185" s="12"/>
      <c r="Q185" s="8"/>
      <c r="R185" s="12"/>
      <c r="T185" s="12"/>
      <c r="AH185" s="8"/>
      <c r="AI185" s="8"/>
      <c r="AJ185" s="8"/>
    </row>
    <row r="186" ht="14.25" customHeight="1">
      <c r="A186" s="44"/>
      <c r="B186" s="12"/>
      <c r="C186" s="12"/>
      <c r="D186" s="12"/>
      <c r="E186" s="12"/>
      <c r="F186" s="12"/>
      <c r="G186" s="10"/>
      <c r="H186" s="8"/>
      <c r="I186" s="12"/>
      <c r="J186" s="8"/>
      <c r="K186" s="8"/>
      <c r="L186" s="8"/>
      <c r="M186" s="8"/>
      <c r="N186" s="8"/>
      <c r="O186" s="8"/>
      <c r="P186" s="12"/>
      <c r="Q186" s="8"/>
      <c r="R186" s="12"/>
      <c r="T186" s="12"/>
      <c r="AH186" s="8"/>
      <c r="AI186" s="8"/>
      <c r="AJ186" s="8"/>
    </row>
    <row r="187" ht="14.25" customHeight="1">
      <c r="A187" s="44"/>
      <c r="B187" s="12"/>
      <c r="C187" s="12"/>
      <c r="D187" s="12"/>
      <c r="E187" s="12"/>
      <c r="F187" s="12"/>
      <c r="G187" s="10"/>
      <c r="H187" s="8"/>
      <c r="I187" s="12"/>
      <c r="J187" s="8"/>
      <c r="K187" s="8"/>
      <c r="L187" s="8"/>
      <c r="M187" s="8"/>
      <c r="N187" s="8"/>
      <c r="O187" s="8"/>
      <c r="P187" s="12"/>
      <c r="Q187" s="8"/>
      <c r="R187" s="12"/>
      <c r="T187" s="12"/>
      <c r="AH187" s="8"/>
      <c r="AI187" s="8"/>
      <c r="AJ187" s="8"/>
    </row>
    <row r="188" ht="14.25" customHeight="1">
      <c r="A188" s="44"/>
      <c r="B188" s="12"/>
      <c r="C188" s="12"/>
      <c r="D188" s="12"/>
      <c r="E188" s="12"/>
      <c r="F188" s="12"/>
      <c r="G188" s="10"/>
      <c r="H188" s="8"/>
      <c r="I188" s="12"/>
      <c r="J188" s="8"/>
      <c r="K188" s="8"/>
      <c r="L188" s="8"/>
      <c r="M188" s="8"/>
      <c r="N188" s="8"/>
      <c r="O188" s="8"/>
      <c r="P188" s="12"/>
      <c r="Q188" s="8"/>
      <c r="R188" s="12"/>
      <c r="T188" s="12"/>
      <c r="AH188" s="8"/>
      <c r="AI188" s="8"/>
      <c r="AJ188" s="8"/>
    </row>
    <row r="189" ht="14.25" customHeight="1">
      <c r="A189" s="44"/>
      <c r="B189" s="12"/>
      <c r="C189" s="12"/>
      <c r="D189" s="12"/>
      <c r="E189" s="12"/>
      <c r="F189" s="12"/>
      <c r="G189" s="10"/>
      <c r="H189" s="8"/>
      <c r="I189" s="12"/>
      <c r="J189" s="8"/>
      <c r="K189" s="8"/>
      <c r="L189" s="8"/>
      <c r="M189" s="8"/>
      <c r="N189" s="8"/>
      <c r="O189" s="8"/>
      <c r="P189" s="12"/>
      <c r="Q189" s="8"/>
      <c r="R189" s="12"/>
      <c r="T189" s="12"/>
      <c r="AH189" s="8"/>
      <c r="AI189" s="8"/>
      <c r="AJ189" s="8"/>
    </row>
    <row r="190" ht="14.25" customHeight="1">
      <c r="A190" s="44"/>
      <c r="B190" s="12"/>
      <c r="C190" s="12"/>
      <c r="D190" s="12"/>
      <c r="E190" s="12"/>
      <c r="F190" s="12"/>
      <c r="G190" s="10"/>
      <c r="H190" s="8"/>
      <c r="I190" s="12"/>
      <c r="J190" s="8"/>
      <c r="K190" s="8"/>
      <c r="L190" s="8"/>
      <c r="M190" s="8"/>
      <c r="N190" s="8"/>
      <c r="O190" s="8"/>
      <c r="P190" s="12"/>
      <c r="Q190" s="8"/>
      <c r="R190" s="12"/>
      <c r="T190" s="12"/>
      <c r="AH190" s="8"/>
      <c r="AI190" s="8"/>
      <c r="AJ190" s="8"/>
    </row>
    <row r="191" ht="14.25" customHeight="1">
      <c r="A191" s="44"/>
      <c r="B191" s="12"/>
      <c r="C191" s="12"/>
      <c r="D191" s="12"/>
      <c r="E191" s="12"/>
      <c r="F191" s="12"/>
      <c r="G191" s="10"/>
      <c r="H191" s="8"/>
      <c r="I191" s="12"/>
      <c r="J191" s="8"/>
      <c r="K191" s="8"/>
      <c r="L191" s="8"/>
      <c r="M191" s="8"/>
      <c r="N191" s="8"/>
      <c r="O191" s="8"/>
      <c r="P191" s="12"/>
      <c r="Q191" s="8"/>
      <c r="R191" s="12"/>
      <c r="T191" s="12"/>
      <c r="AH191" s="8"/>
      <c r="AI191" s="8"/>
      <c r="AJ191" s="8"/>
    </row>
    <row r="192" ht="14.25" customHeight="1">
      <c r="A192" s="44"/>
      <c r="B192" s="12"/>
      <c r="C192" s="12"/>
      <c r="D192" s="12"/>
      <c r="E192" s="12"/>
      <c r="F192" s="12"/>
      <c r="G192" s="10"/>
      <c r="H192" s="8"/>
      <c r="I192" s="12"/>
      <c r="J192" s="8"/>
      <c r="K192" s="8"/>
      <c r="L192" s="8"/>
      <c r="M192" s="8"/>
      <c r="N192" s="8"/>
      <c r="O192" s="8"/>
      <c r="P192" s="12"/>
      <c r="Q192" s="8"/>
      <c r="R192" s="12"/>
      <c r="T192" s="12"/>
      <c r="AH192" s="8"/>
      <c r="AI192" s="8"/>
      <c r="AJ192" s="8"/>
    </row>
    <row r="193" ht="14.25" customHeight="1">
      <c r="A193" s="44"/>
      <c r="B193" s="12"/>
      <c r="C193" s="12"/>
      <c r="D193" s="12"/>
      <c r="E193" s="12"/>
      <c r="F193" s="12"/>
      <c r="G193" s="10"/>
      <c r="H193" s="8"/>
      <c r="I193" s="12"/>
      <c r="J193" s="8"/>
      <c r="K193" s="8"/>
      <c r="L193" s="8"/>
      <c r="M193" s="8"/>
      <c r="N193" s="8"/>
      <c r="O193" s="8"/>
      <c r="P193" s="12"/>
      <c r="Q193" s="8"/>
      <c r="R193" s="12"/>
      <c r="T193" s="12"/>
      <c r="AH193" s="8"/>
      <c r="AI193" s="8"/>
      <c r="AJ193" s="8"/>
    </row>
    <row r="194" ht="14.25" customHeight="1">
      <c r="A194" s="44"/>
      <c r="B194" s="12"/>
      <c r="C194" s="12"/>
      <c r="D194" s="12"/>
      <c r="E194" s="12"/>
      <c r="F194" s="12"/>
      <c r="G194" s="10"/>
      <c r="H194" s="8"/>
      <c r="I194" s="12"/>
      <c r="J194" s="8"/>
      <c r="K194" s="8"/>
      <c r="L194" s="8"/>
      <c r="M194" s="8"/>
      <c r="N194" s="8"/>
      <c r="O194" s="8"/>
      <c r="P194" s="12"/>
      <c r="Q194" s="8"/>
      <c r="R194" s="12"/>
      <c r="T194" s="12"/>
      <c r="AH194" s="8"/>
      <c r="AI194" s="8"/>
      <c r="AJ194" s="8"/>
    </row>
    <row r="195" ht="14.25" customHeight="1">
      <c r="A195" s="44"/>
      <c r="B195" s="12"/>
      <c r="C195" s="12"/>
      <c r="D195" s="12"/>
      <c r="E195" s="12"/>
      <c r="F195" s="12"/>
      <c r="G195" s="10"/>
      <c r="H195" s="8"/>
      <c r="I195" s="12"/>
      <c r="J195" s="8"/>
      <c r="K195" s="8"/>
      <c r="L195" s="8"/>
      <c r="M195" s="8"/>
      <c r="N195" s="8"/>
      <c r="O195" s="8"/>
      <c r="P195" s="12"/>
      <c r="Q195" s="8"/>
      <c r="R195" s="12"/>
      <c r="T195" s="12"/>
      <c r="AH195" s="8"/>
      <c r="AI195" s="8"/>
      <c r="AJ195" s="8"/>
    </row>
    <row r="196" ht="14.25" customHeight="1">
      <c r="A196" s="44"/>
      <c r="B196" s="12"/>
      <c r="C196" s="12"/>
      <c r="D196" s="12"/>
      <c r="E196" s="12"/>
      <c r="F196" s="12"/>
      <c r="G196" s="10"/>
      <c r="H196" s="8"/>
      <c r="I196" s="12"/>
      <c r="J196" s="8"/>
      <c r="K196" s="8"/>
      <c r="L196" s="8"/>
      <c r="M196" s="8"/>
      <c r="N196" s="8"/>
      <c r="O196" s="8"/>
      <c r="P196" s="12"/>
      <c r="Q196" s="8"/>
      <c r="R196" s="12"/>
      <c r="T196" s="12"/>
      <c r="AH196" s="8"/>
      <c r="AI196" s="8"/>
      <c r="AJ196" s="8"/>
    </row>
    <row r="197" ht="14.25" customHeight="1">
      <c r="A197" s="44"/>
      <c r="B197" s="12"/>
      <c r="C197" s="12"/>
      <c r="D197" s="12"/>
      <c r="E197" s="12"/>
      <c r="F197" s="12"/>
      <c r="G197" s="10"/>
      <c r="H197" s="8"/>
      <c r="I197" s="12"/>
      <c r="J197" s="8"/>
      <c r="K197" s="8"/>
      <c r="L197" s="8"/>
      <c r="M197" s="8"/>
      <c r="N197" s="8"/>
      <c r="O197" s="8"/>
      <c r="P197" s="12"/>
      <c r="Q197" s="8"/>
      <c r="R197" s="12"/>
      <c r="T197" s="12"/>
      <c r="AH197" s="8"/>
      <c r="AI197" s="8"/>
      <c r="AJ197" s="8"/>
    </row>
    <row r="198" ht="14.25" customHeight="1">
      <c r="A198" s="44"/>
      <c r="B198" s="12"/>
      <c r="C198" s="12"/>
      <c r="D198" s="12"/>
      <c r="E198" s="12"/>
      <c r="F198" s="12"/>
      <c r="G198" s="10"/>
      <c r="H198" s="8"/>
      <c r="I198" s="12"/>
      <c r="J198" s="8"/>
      <c r="K198" s="8"/>
      <c r="L198" s="8"/>
      <c r="M198" s="8"/>
      <c r="N198" s="8"/>
      <c r="O198" s="8"/>
      <c r="P198" s="12"/>
      <c r="Q198" s="8"/>
      <c r="R198" s="12"/>
      <c r="T198" s="12"/>
      <c r="AH198" s="8"/>
      <c r="AI198" s="8"/>
      <c r="AJ198" s="8"/>
    </row>
    <row r="199" ht="14.25" customHeight="1">
      <c r="A199" s="44"/>
      <c r="B199" s="12"/>
      <c r="C199" s="12"/>
      <c r="D199" s="12"/>
      <c r="E199" s="12"/>
      <c r="F199" s="12"/>
      <c r="G199" s="10"/>
      <c r="H199" s="8"/>
      <c r="I199" s="12"/>
      <c r="J199" s="8"/>
      <c r="K199" s="8"/>
      <c r="L199" s="8"/>
      <c r="M199" s="8"/>
      <c r="N199" s="8"/>
      <c r="O199" s="8"/>
      <c r="P199" s="12"/>
      <c r="Q199" s="8"/>
      <c r="R199" s="12"/>
      <c r="T199" s="12"/>
      <c r="AH199" s="8"/>
      <c r="AI199" s="8"/>
      <c r="AJ199" s="8"/>
    </row>
    <row r="200" ht="14.25" customHeight="1">
      <c r="A200" s="44"/>
      <c r="B200" s="12"/>
      <c r="C200" s="12"/>
      <c r="D200" s="12"/>
      <c r="E200" s="12"/>
      <c r="F200" s="12"/>
      <c r="G200" s="10"/>
      <c r="H200" s="8"/>
      <c r="I200" s="12"/>
      <c r="J200" s="8"/>
      <c r="K200" s="8"/>
      <c r="L200" s="8"/>
      <c r="M200" s="8"/>
      <c r="N200" s="8"/>
      <c r="O200" s="8"/>
      <c r="P200" s="12"/>
      <c r="Q200" s="8"/>
      <c r="R200" s="12"/>
      <c r="T200" s="12"/>
      <c r="AH200" s="8"/>
      <c r="AI200" s="8"/>
      <c r="AJ200" s="8"/>
    </row>
    <row r="201" ht="14.25" customHeight="1">
      <c r="A201" s="44"/>
      <c r="B201" s="12"/>
      <c r="C201" s="12"/>
      <c r="D201" s="12"/>
      <c r="E201" s="12"/>
      <c r="F201" s="12"/>
      <c r="G201" s="10"/>
      <c r="H201" s="8"/>
      <c r="I201" s="12"/>
      <c r="J201" s="8"/>
      <c r="K201" s="8"/>
      <c r="L201" s="8"/>
      <c r="M201" s="8"/>
      <c r="N201" s="8"/>
      <c r="O201" s="8"/>
      <c r="P201" s="12"/>
      <c r="Q201" s="8"/>
      <c r="R201" s="12"/>
      <c r="T201" s="12"/>
      <c r="AH201" s="8"/>
      <c r="AI201" s="8"/>
      <c r="AJ201" s="8"/>
    </row>
    <row r="202" ht="14.25" customHeight="1">
      <c r="A202" s="44"/>
      <c r="B202" s="12"/>
      <c r="C202" s="12"/>
      <c r="D202" s="12"/>
      <c r="E202" s="12"/>
      <c r="F202" s="12"/>
      <c r="G202" s="10"/>
      <c r="H202" s="8"/>
      <c r="I202" s="12"/>
      <c r="J202" s="8"/>
      <c r="K202" s="8"/>
      <c r="L202" s="8"/>
      <c r="M202" s="8"/>
      <c r="N202" s="8"/>
      <c r="O202" s="8"/>
      <c r="P202" s="12"/>
      <c r="Q202" s="8"/>
      <c r="R202" s="12"/>
      <c r="T202" s="12"/>
      <c r="AH202" s="8"/>
      <c r="AI202" s="8"/>
      <c r="AJ202" s="8"/>
    </row>
    <row r="203" ht="14.25" customHeight="1">
      <c r="A203" s="44"/>
      <c r="B203" s="12"/>
      <c r="C203" s="12"/>
      <c r="D203" s="12"/>
      <c r="E203" s="12"/>
      <c r="F203" s="12"/>
      <c r="G203" s="10"/>
      <c r="H203" s="8"/>
      <c r="I203" s="12"/>
      <c r="J203" s="8"/>
      <c r="K203" s="8"/>
      <c r="L203" s="8"/>
      <c r="M203" s="8"/>
      <c r="N203" s="8"/>
      <c r="O203" s="8"/>
      <c r="P203" s="12"/>
      <c r="Q203" s="8"/>
      <c r="R203" s="12"/>
      <c r="T203" s="12"/>
      <c r="AH203" s="8"/>
      <c r="AI203" s="8"/>
      <c r="AJ203" s="8"/>
    </row>
    <row r="204" ht="14.25" customHeight="1">
      <c r="A204" s="44"/>
      <c r="B204" s="12"/>
      <c r="C204" s="12"/>
      <c r="D204" s="12"/>
      <c r="E204" s="12"/>
      <c r="F204" s="12"/>
      <c r="G204" s="10"/>
      <c r="H204" s="8"/>
      <c r="I204" s="12"/>
      <c r="J204" s="8"/>
      <c r="K204" s="8"/>
      <c r="L204" s="8"/>
      <c r="M204" s="8"/>
      <c r="N204" s="8"/>
      <c r="O204" s="8"/>
      <c r="P204" s="12"/>
      <c r="Q204" s="8"/>
      <c r="R204" s="12"/>
      <c r="T204" s="12"/>
      <c r="AH204" s="8"/>
      <c r="AI204" s="8"/>
      <c r="AJ204" s="8"/>
    </row>
    <row r="205" ht="14.25" customHeight="1">
      <c r="A205" s="44"/>
      <c r="B205" s="12"/>
      <c r="C205" s="12"/>
      <c r="D205" s="12"/>
      <c r="E205" s="12"/>
      <c r="F205" s="12"/>
      <c r="G205" s="10"/>
      <c r="H205" s="8"/>
      <c r="I205" s="12"/>
      <c r="J205" s="8"/>
      <c r="K205" s="8"/>
      <c r="L205" s="8"/>
      <c r="M205" s="8"/>
      <c r="N205" s="8"/>
      <c r="O205" s="8"/>
      <c r="P205" s="12"/>
      <c r="Q205" s="8"/>
      <c r="R205" s="12"/>
      <c r="T205" s="12"/>
      <c r="AH205" s="8"/>
      <c r="AI205" s="8"/>
      <c r="AJ205" s="8"/>
    </row>
    <row r="206" ht="14.25" customHeight="1">
      <c r="A206" s="44"/>
      <c r="B206" s="12"/>
      <c r="C206" s="12"/>
      <c r="D206" s="12"/>
      <c r="E206" s="12"/>
      <c r="F206" s="12"/>
      <c r="G206" s="10"/>
      <c r="H206" s="8"/>
      <c r="I206" s="12"/>
      <c r="J206" s="8"/>
      <c r="K206" s="8"/>
      <c r="L206" s="8"/>
      <c r="M206" s="8"/>
      <c r="N206" s="8"/>
      <c r="O206" s="8"/>
      <c r="P206" s="12"/>
      <c r="Q206" s="8"/>
      <c r="R206" s="12"/>
      <c r="T206" s="12"/>
      <c r="AH206" s="8"/>
      <c r="AI206" s="8"/>
      <c r="AJ206" s="8"/>
    </row>
    <row r="207" ht="14.25" customHeight="1">
      <c r="A207" s="44"/>
      <c r="B207" s="12"/>
      <c r="C207" s="12"/>
      <c r="D207" s="12"/>
      <c r="E207" s="12"/>
      <c r="F207" s="12"/>
      <c r="G207" s="10"/>
      <c r="H207" s="8"/>
      <c r="I207" s="12"/>
      <c r="J207" s="8"/>
      <c r="K207" s="8"/>
      <c r="L207" s="8"/>
      <c r="M207" s="8"/>
      <c r="N207" s="8"/>
      <c r="O207" s="8"/>
      <c r="P207" s="12"/>
      <c r="Q207" s="8"/>
      <c r="R207" s="12"/>
      <c r="T207" s="12"/>
      <c r="AH207" s="8"/>
      <c r="AI207" s="8"/>
      <c r="AJ207" s="8"/>
    </row>
    <row r="208" ht="14.25" customHeight="1">
      <c r="A208" s="44"/>
      <c r="B208" s="12"/>
      <c r="C208" s="12"/>
      <c r="D208" s="12"/>
      <c r="E208" s="12"/>
      <c r="F208" s="12"/>
      <c r="G208" s="10"/>
      <c r="H208" s="8"/>
      <c r="I208" s="12"/>
      <c r="J208" s="8"/>
      <c r="K208" s="8"/>
      <c r="L208" s="8"/>
      <c r="M208" s="8"/>
      <c r="N208" s="8"/>
      <c r="O208" s="8"/>
      <c r="P208" s="12"/>
      <c r="Q208" s="8"/>
      <c r="R208" s="12"/>
      <c r="T208" s="12"/>
      <c r="AH208" s="8"/>
      <c r="AI208" s="8"/>
      <c r="AJ208" s="8"/>
    </row>
    <row r="209" ht="14.25" customHeight="1">
      <c r="A209" s="44"/>
      <c r="B209" s="12"/>
      <c r="C209" s="12"/>
      <c r="D209" s="12"/>
      <c r="E209" s="12"/>
      <c r="F209" s="12"/>
      <c r="G209" s="10"/>
      <c r="H209" s="8"/>
      <c r="I209" s="12"/>
      <c r="J209" s="8"/>
      <c r="K209" s="8"/>
      <c r="L209" s="8"/>
      <c r="M209" s="8"/>
      <c r="N209" s="8"/>
      <c r="O209" s="8"/>
      <c r="P209" s="12"/>
      <c r="Q209" s="8"/>
      <c r="R209" s="12"/>
      <c r="T209" s="12"/>
      <c r="AH209" s="8"/>
      <c r="AI209" s="8"/>
      <c r="AJ209" s="8"/>
    </row>
    <row r="210" ht="14.25" customHeight="1">
      <c r="A210" s="44"/>
      <c r="B210" s="12"/>
      <c r="C210" s="12"/>
      <c r="D210" s="12"/>
      <c r="E210" s="12"/>
      <c r="F210" s="12"/>
      <c r="G210" s="10"/>
      <c r="H210" s="8"/>
      <c r="I210" s="12"/>
      <c r="J210" s="8"/>
      <c r="K210" s="8"/>
      <c r="L210" s="8"/>
      <c r="M210" s="8"/>
      <c r="N210" s="8"/>
      <c r="O210" s="8"/>
      <c r="P210" s="12"/>
      <c r="Q210" s="8"/>
      <c r="R210" s="12"/>
      <c r="T210" s="12"/>
      <c r="AH210" s="8"/>
      <c r="AI210" s="8"/>
      <c r="AJ210" s="8"/>
    </row>
    <row r="211" ht="14.25" customHeight="1">
      <c r="A211" s="44"/>
      <c r="B211" s="12"/>
      <c r="C211" s="12"/>
      <c r="D211" s="12"/>
      <c r="E211" s="12"/>
      <c r="F211" s="12"/>
      <c r="G211" s="10"/>
      <c r="H211" s="8"/>
      <c r="I211" s="12"/>
      <c r="J211" s="8"/>
      <c r="K211" s="8"/>
      <c r="L211" s="8"/>
      <c r="M211" s="8"/>
      <c r="N211" s="8"/>
      <c r="O211" s="8"/>
      <c r="P211" s="12"/>
      <c r="Q211" s="8"/>
      <c r="R211" s="12"/>
      <c r="T211" s="12"/>
      <c r="AH211" s="8"/>
      <c r="AI211" s="8"/>
      <c r="AJ211" s="8"/>
    </row>
    <row r="212" ht="14.25" customHeight="1">
      <c r="A212" s="44"/>
      <c r="B212" s="12"/>
      <c r="C212" s="12"/>
      <c r="D212" s="12"/>
      <c r="E212" s="12"/>
      <c r="F212" s="12"/>
      <c r="G212" s="10"/>
      <c r="H212" s="8"/>
      <c r="I212" s="12"/>
      <c r="J212" s="8"/>
      <c r="K212" s="8"/>
      <c r="L212" s="8"/>
      <c r="M212" s="8"/>
      <c r="N212" s="8"/>
      <c r="O212" s="8"/>
      <c r="P212" s="12"/>
      <c r="Q212" s="8"/>
      <c r="R212" s="12"/>
      <c r="T212" s="12"/>
      <c r="AH212" s="8"/>
      <c r="AI212" s="8"/>
      <c r="AJ212" s="8"/>
    </row>
    <row r="213" ht="14.25" customHeight="1">
      <c r="A213" s="44"/>
      <c r="B213" s="12"/>
      <c r="C213" s="12"/>
      <c r="D213" s="12"/>
      <c r="E213" s="12"/>
      <c r="F213" s="12"/>
      <c r="G213" s="10"/>
      <c r="H213" s="8"/>
      <c r="I213" s="12"/>
      <c r="J213" s="8"/>
      <c r="K213" s="8"/>
      <c r="L213" s="8"/>
      <c r="M213" s="8"/>
      <c r="N213" s="8"/>
      <c r="O213" s="8"/>
      <c r="P213" s="12"/>
      <c r="Q213" s="8"/>
      <c r="R213" s="12"/>
      <c r="T213" s="12"/>
      <c r="AH213" s="8"/>
      <c r="AI213" s="8"/>
      <c r="AJ213" s="8"/>
    </row>
    <row r="214" ht="14.25" customHeight="1">
      <c r="A214" s="44"/>
      <c r="B214" s="12"/>
      <c r="C214" s="12"/>
      <c r="D214" s="12"/>
      <c r="E214" s="12"/>
      <c r="F214" s="12"/>
      <c r="G214" s="10"/>
      <c r="H214" s="8"/>
      <c r="I214" s="12"/>
      <c r="J214" s="8"/>
      <c r="K214" s="8"/>
      <c r="L214" s="8"/>
      <c r="M214" s="8"/>
      <c r="N214" s="8"/>
      <c r="O214" s="8"/>
      <c r="P214" s="12"/>
      <c r="Q214" s="8"/>
      <c r="R214" s="12"/>
      <c r="T214" s="12"/>
      <c r="AH214" s="8"/>
      <c r="AI214" s="8"/>
      <c r="AJ214" s="8"/>
    </row>
    <row r="215" ht="14.25" customHeight="1">
      <c r="A215" s="44"/>
      <c r="B215" s="12"/>
      <c r="C215" s="12"/>
      <c r="D215" s="12"/>
      <c r="E215" s="12"/>
      <c r="F215" s="12"/>
      <c r="G215" s="10"/>
      <c r="H215" s="8"/>
      <c r="I215" s="12"/>
      <c r="J215" s="8"/>
      <c r="K215" s="8"/>
      <c r="L215" s="8"/>
      <c r="M215" s="8"/>
      <c r="N215" s="8"/>
      <c r="O215" s="8"/>
      <c r="P215" s="12"/>
      <c r="Q215" s="8"/>
      <c r="R215" s="12"/>
      <c r="T215" s="12"/>
      <c r="AH215" s="8"/>
      <c r="AI215" s="8"/>
      <c r="AJ215" s="8"/>
    </row>
    <row r="216" ht="14.25" customHeight="1">
      <c r="A216" s="44"/>
      <c r="B216" s="12"/>
      <c r="C216" s="12"/>
      <c r="D216" s="12"/>
      <c r="E216" s="12"/>
      <c r="F216" s="12"/>
      <c r="G216" s="10"/>
      <c r="H216" s="8"/>
      <c r="I216" s="12"/>
      <c r="J216" s="8"/>
      <c r="K216" s="8"/>
      <c r="L216" s="8"/>
      <c r="M216" s="8"/>
      <c r="N216" s="8"/>
      <c r="O216" s="8"/>
      <c r="P216" s="12"/>
      <c r="Q216" s="8"/>
      <c r="R216" s="12"/>
      <c r="T216" s="12"/>
      <c r="AH216" s="8"/>
      <c r="AI216" s="8"/>
      <c r="AJ216" s="8"/>
    </row>
    <row r="217" ht="14.25" customHeight="1">
      <c r="A217" s="44"/>
      <c r="B217" s="12"/>
      <c r="C217" s="12"/>
      <c r="D217" s="12"/>
      <c r="E217" s="12"/>
      <c r="F217" s="12"/>
      <c r="G217" s="10"/>
      <c r="H217" s="8"/>
      <c r="I217" s="12"/>
      <c r="J217" s="8"/>
      <c r="K217" s="8"/>
      <c r="L217" s="8"/>
      <c r="M217" s="8"/>
      <c r="N217" s="8"/>
      <c r="O217" s="8"/>
      <c r="P217" s="12"/>
      <c r="Q217" s="8"/>
      <c r="R217" s="12"/>
      <c r="T217" s="12"/>
      <c r="AH217" s="8"/>
      <c r="AI217" s="8"/>
      <c r="AJ217" s="8"/>
    </row>
    <row r="218" ht="14.25" customHeight="1">
      <c r="A218" s="44"/>
      <c r="B218" s="12"/>
      <c r="C218" s="12"/>
      <c r="D218" s="12"/>
      <c r="E218" s="12"/>
      <c r="F218" s="12"/>
      <c r="G218" s="10"/>
      <c r="H218" s="8"/>
      <c r="I218" s="12"/>
      <c r="J218" s="8"/>
      <c r="K218" s="8"/>
      <c r="L218" s="8"/>
      <c r="M218" s="8"/>
      <c r="N218" s="8"/>
      <c r="O218" s="8"/>
      <c r="P218" s="12"/>
      <c r="Q218" s="8"/>
      <c r="R218" s="12"/>
      <c r="T218" s="12"/>
      <c r="AH218" s="8"/>
      <c r="AI218" s="8"/>
      <c r="AJ218" s="8"/>
    </row>
    <row r="219" ht="14.25" customHeight="1">
      <c r="A219" s="44"/>
      <c r="B219" s="12"/>
      <c r="C219" s="12"/>
      <c r="D219" s="12"/>
      <c r="E219" s="12"/>
      <c r="F219" s="12"/>
      <c r="G219" s="10"/>
      <c r="H219" s="8"/>
      <c r="I219" s="12"/>
      <c r="J219" s="8"/>
      <c r="K219" s="8"/>
      <c r="L219" s="8"/>
      <c r="M219" s="8"/>
      <c r="N219" s="8"/>
      <c r="O219" s="8"/>
      <c r="P219" s="12"/>
      <c r="Q219" s="8"/>
      <c r="R219" s="12"/>
      <c r="T219" s="12"/>
      <c r="AH219" s="8"/>
      <c r="AI219" s="8"/>
      <c r="AJ219" s="8"/>
    </row>
    <row r="220" ht="14.25" customHeight="1">
      <c r="A220" s="44"/>
      <c r="B220" s="12"/>
      <c r="C220" s="12"/>
      <c r="D220" s="12"/>
      <c r="E220" s="12"/>
      <c r="F220" s="12"/>
      <c r="G220" s="10"/>
      <c r="H220" s="8"/>
      <c r="I220" s="12"/>
      <c r="J220" s="8"/>
      <c r="K220" s="8"/>
      <c r="L220" s="8"/>
      <c r="M220" s="8"/>
      <c r="N220" s="8"/>
      <c r="O220" s="8"/>
      <c r="P220" s="12"/>
      <c r="Q220" s="8"/>
      <c r="R220" s="12"/>
      <c r="T220" s="12"/>
      <c r="AH220" s="8"/>
      <c r="AI220" s="8"/>
      <c r="AJ220" s="8"/>
    </row>
    <row r="221" ht="14.25" customHeight="1">
      <c r="A221" s="44"/>
      <c r="B221" s="12"/>
      <c r="C221" s="12"/>
      <c r="D221" s="12"/>
      <c r="E221" s="12"/>
      <c r="F221" s="12"/>
      <c r="G221" s="10"/>
      <c r="H221" s="8"/>
      <c r="I221" s="12"/>
      <c r="J221" s="8"/>
      <c r="K221" s="8"/>
      <c r="L221" s="8"/>
      <c r="M221" s="8"/>
      <c r="N221" s="8"/>
      <c r="O221" s="8"/>
      <c r="P221" s="12"/>
      <c r="Q221" s="8"/>
      <c r="R221" s="12"/>
      <c r="T221" s="12"/>
      <c r="AH221" s="8"/>
      <c r="AI221" s="8"/>
      <c r="AJ221" s="8"/>
    </row>
    <row r="222" ht="14.25" customHeight="1">
      <c r="A222" s="44"/>
      <c r="B222" s="12"/>
      <c r="C222" s="12"/>
      <c r="D222" s="12"/>
      <c r="E222" s="12"/>
      <c r="F222" s="12"/>
      <c r="G222" s="10"/>
      <c r="H222" s="8"/>
      <c r="I222" s="12"/>
      <c r="J222" s="8"/>
      <c r="K222" s="8"/>
      <c r="L222" s="8"/>
      <c r="M222" s="8"/>
      <c r="N222" s="8"/>
      <c r="O222" s="8"/>
      <c r="P222" s="12"/>
      <c r="Q222" s="8"/>
      <c r="R222" s="12"/>
      <c r="T222" s="12"/>
      <c r="AH222" s="8"/>
      <c r="AI222" s="8"/>
      <c r="AJ222" s="8"/>
    </row>
    <row r="223" ht="14.25" customHeight="1">
      <c r="A223" s="44"/>
      <c r="B223" s="12"/>
      <c r="C223" s="12"/>
      <c r="D223" s="12"/>
      <c r="E223" s="12"/>
      <c r="F223" s="12"/>
      <c r="G223" s="10"/>
      <c r="H223" s="8"/>
      <c r="I223" s="12"/>
      <c r="J223" s="8"/>
      <c r="K223" s="8"/>
      <c r="L223" s="8"/>
      <c r="M223" s="8"/>
      <c r="N223" s="8"/>
      <c r="O223" s="8"/>
      <c r="P223" s="12"/>
      <c r="Q223" s="8"/>
      <c r="R223" s="12"/>
      <c r="T223" s="12"/>
      <c r="AH223" s="8"/>
      <c r="AI223" s="8"/>
      <c r="AJ223" s="8"/>
    </row>
    <row r="224" ht="14.25" customHeight="1">
      <c r="A224" s="44"/>
      <c r="B224" s="12"/>
      <c r="C224" s="12"/>
      <c r="D224" s="12"/>
      <c r="E224" s="12"/>
      <c r="F224" s="12"/>
      <c r="G224" s="10"/>
      <c r="H224" s="8"/>
      <c r="I224" s="12"/>
      <c r="J224" s="8"/>
      <c r="K224" s="8"/>
      <c r="L224" s="8"/>
      <c r="M224" s="8"/>
      <c r="N224" s="8"/>
      <c r="O224" s="8"/>
      <c r="P224" s="12"/>
      <c r="Q224" s="8"/>
      <c r="R224" s="12"/>
      <c r="T224" s="12"/>
      <c r="AH224" s="8"/>
      <c r="AI224" s="8"/>
      <c r="AJ224" s="8"/>
    </row>
    <row r="225" ht="14.25" customHeight="1">
      <c r="A225" s="44"/>
      <c r="B225" s="12"/>
      <c r="C225" s="12"/>
      <c r="D225" s="12"/>
      <c r="E225" s="12"/>
      <c r="F225" s="12"/>
      <c r="G225" s="10"/>
      <c r="H225" s="8"/>
      <c r="I225" s="12"/>
      <c r="J225" s="8"/>
      <c r="K225" s="8"/>
      <c r="L225" s="8"/>
      <c r="M225" s="8"/>
      <c r="N225" s="8"/>
      <c r="O225" s="8"/>
      <c r="P225" s="12"/>
      <c r="Q225" s="8"/>
      <c r="R225" s="12"/>
      <c r="T225" s="12"/>
      <c r="AH225" s="8"/>
      <c r="AI225" s="8"/>
      <c r="AJ225" s="8"/>
    </row>
    <row r="226" ht="14.25" customHeight="1">
      <c r="A226" s="44"/>
      <c r="B226" s="12"/>
      <c r="C226" s="12"/>
      <c r="D226" s="12"/>
      <c r="E226" s="12"/>
      <c r="F226" s="12"/>
      <c r="G226" s="10"/>
      <c r="H226" s="8"/>
      <c r="I226" s="12"/>
      <c r="J226" s="8"/>
      <c r="K226" s="8"/>
      <c r="L226" s="8"/>
      <c r="M226" s="8"/>
      <c r="N226" s="8"/>
      <c r="O226" s="8"/>
      <c r="P226" s="12"/>
      <c r="Q226" s="8"/>
      <c r="R226" s="12"/>
      <c r="T226" s="12"/>
      <c r="AH226" s="8"/>
      <c r="AI226" s="8"/>
      <c r="AJ226" s="8"/>
    </row>
    <row r="227" ht="14.25" customHeight="1">
      <c r="A227" s="44"/>
      <c r="B227" s="12"/>
      <c r="C227" s="12"/>
      <c r="D227" s="12"/>
      <c r="E227" s="12"/>
      <c r="F227" s="12"/>
      <c r="G227" s="10"/>
      <c r="H227" s="8"/>
      <c r="I227" s="12"/>
      <c r="J227" s="8"/>
      <c r="K227" s="8"/>
      <c r="L227" s="8"/>
      <c r="M227" s="8"/>
      <c r="N227" s="8"/>
      <c r="O227" s="8"/>
      <c r="P227" s="12"/>
      <c r="Q227" s="8"/>
      <c r="R227" s="12"/>
      <c r="T227" s="12"/>
      <c r="AH227" s="8"/>
      <c r="AI227" s="8"/>
      <c r="AJ227" s="8"/>
    </row>
    <row r="228" ht="14.25" customHeight="1">
      <c r="A228" s="44"/>
      <c r="B228" s="12"/>
      <c r="C228" s="12"/>
      <c r="D228" s="12"/>
      <c r="E228" s="12"/>
      <c r="F228" s="12"/>
      <c r="G228" s="10"/>
      <c r="H228" s="8"/>
      <c r="I228" s="12"/>
      <c r="J228" s="8"/>
      <c r="K228" s="8"/>
      <c r="L228" s="8"/>
      <c r="M228" s="8"/>
      <c r="N228" s="8"/>
      <c r="O228" s="8"/>
      <c r="P228" s="12"/>
      <c r="Q228" s="8"/>
      <c r="R228" s="12"/>
      <c r="T228" s="12"/>
      <c r="AH228" s="8"/>
      <c r="AI228" s="8"/>
      <c r="AJ228" s="8"/>
    </row>
    <row r="229" ht="14.25" customHeight="1">
      <c r="A229" s="44"/>
      <c r="B229" s="12"/>
      <c r="C229" s="12"/>
      <c r="D229" s="12"/>
      <c r="E229" s="12"/>
      <c r="F229" s="12"/>
      <c r="G229" s="10"/>
      <c r="H229" s="8"/>
      <c r="I229" s="12"/>
      <c r="J229" s="8"/>
      <c r="K229" s="8"/>
      <c r="L229" s="8"/>
      <c r="M229" s="8"/>
      <c r="N229" s="8"/>
      <c r="O229" s="8"/>
      <c r="P229" s="12"/>
      <c r="Q229" s="8"/>
      <c r="R229" s="12"/>
      <c r="T229" s="12"/>
      <c r="AH229" s="8"/>
      <c r="AI229" s="8"/>
      <c r="AJ229" s="8"/>
    </row>
    <row r="230" ht="14.25" customHeight="1">
      <c r="A230" s="44"/>
      <c r="B230" s="12"/>
      <c r="C230" s="12"/>
      <c r="D230" s="12"/>
      <c r="E230" s="12"/>
      <c r="F230" s="12"/>
      <c r="G230" s="10"/>
      <c r="H230" s="8"/>
      <c r="I230" s="12"/>
      <c r="J230" s="8"/>
      <c r="K230" s="8"/>
      <c r="L230" s="8"/>
      <c r="M230" s="8"/>
      <c r="N230" s="8"/>
      <c r="O230" s="8"/>
      <c r="P230" s="12"/>
      <c r="Q230" s="8"/>
      <c r="R230" s="12"/>
      <c r="T230" s="12"/>
      <c r="AH230" s="8"/>
      <c r="AI230" s="8"/>
      <c r="AJ230" s="8"/>
    </row>
    <row r="231" ht="14.25" customHeight="1">
      <c r="A231" s="44"/>
      <c r="B231" s="12"/>
      <c r="C231" s="12"/>
      <c r="D231" s="12"/>
      <c r="E231" s="12"/>
      <c r="F231" s="12"/>
      <c r="G231" s="10"/>
      <c r="H231" s="8"/>
      <c r="I231" s="12"/>
      <c r="J231" s="8"/>
      <c r="K231" s="8"/>
      <c r="L231" s="8"/>
      <c r="M231" s="8"/>
      <c r="N231" s="8"/>
      <c r="O231" s="8"/>
      <c r="P231" s="12"/>
      <c r="Q231" s="8"/>
      <c r="R231" s="12"/>
      <c r="T231" s="12"/>
      <c r="AH231" s="8"/>
      <c r="AI231" s="8"/>
      <c r="AJ231" s="8"/>
    </row>
    <row r="232" ht="14.25" customHeight="1">
      <c r="A232" s="44"/>
      <c r="B232" s="12"/>
      <c r="C232" s="12"/>
      <c r="D232" s="12"/>
      <c r="E232" s="12"/>
      <c r="F232" s="12"/>
      <c r="G232" s="10"/>
      <c r="H232" s="8"/>
      <c r="I232" s="12"/>
      <c r="J232" s="8"/>
      <c r="K232" s="8"/>
      <c r="L232" s="8"/>
      <c r="M232" s="8"/>
      <c r="N232" s="8"/>
      <c r="O232" s="8"/>
      <c r="P232" s="12"/>
      <c r="Q232" s="8"/>
      <c r="R232" s="12"/>
      <c r="T232" s="12"/>
      <c r="AH232" s="8"/>
      <c r="AI232" s="8"/>
      <c r="AJ232" s="8"/>
    </row>
    <row r="233" ht="14.25" customHeight="1">
      <c r="A233" s="44"/>
      <c r="B233" s="12"/>
      <c r="C233" s="12"/>
      <c r="D233" s="12"/>
      <c r="E233" s="12"/>
      <c r="F233" s="12"/>
      <c r="G233" s="10"/>
      <c r="H233" s="8"/>
      <c r="I233" s="12"/>
      <c r="J233" s="8"/>
      <c r="K233" s="8"/>
      <c r="L233" s="8"/>
      <c r="M233" s="8"/>
      <c r="N233" s="8"/>
      <c r="O233" s="8"/>
      <c r="P233" s="12"/>
      <c r="Q233" s="8"/>
      <c r="R233" s="12"/>
      <c r="T233" s="12"/>
      <c r="AH233" s="8"/>
      <c r="AI233" s="8"/>
      <c r="AJ233" s="8"/>
    </row>
    <row r="234" ht="14.25" customHeight="1">
      <c r="A234" s="44"/>
      <c r="B234" s="12"/>
      <c r="C234" s="12"/>
      <c r="D234" s="12"/>
      <c r="E234" s="12"/>
      <c r="F234" s="12"/>
      <c r="G234" s="10"/>
      <c r="H234" s="8"/>
      <c r="I234" s="12"/>
      <c r="J234" s="8"/>
      <c r="K234" s="8"/>
      <c r="L234" s="8"/>
      <c r="M234" s="8"/>
      <c r="N234" s="8"/>
      <c r="O234" s="8"/>
      <c r="P234" s="12"/>
      <c r="Q234" s="8"/>
      <c r="R234" s="12"/>
      <c r="T234" s="12"/>
      <c r="AH234" s="8"/>
      <c r="AI234" s="8"/>
      <c r="AJ234" s="8"/>
    </row>
    <row r="235" ht="14.25" customHeight="1">
      <c r="A235" s="44"/>
      <c r="B235" s="12"/>
      <c r="C235" s="12"/>
      <c r="D235" s="12"/>
      <c r="E235" s="12"/>
      <c r="F235" s="12"/>
      <c r="G235" s="10"/>
      <c r="H235" s="8"/>
      <c r="I235" s="12"/>
      <c r="J235" s="8"/>
      <c r="K235" s="8"/>
      <c r="L235" s="8"/>
      <c r="M235" s="8"/>
      <c r="N235" s="8"/>
      <c r="O235" s="8"/>
      <c r="P235" s="12"/>
      <c r="Q235" s="8"/>
      <c r="R235" s="12"/>
      <c r="T235" s="12"/>
      <c r="AH235" s="8"/>
      <c r="AI235" s="8"/>
      <c r="AJ235" s="8"/>
    </row>
    <row r="236" ht="14.25" customHeight="1">
      <c r="A236" s="44"/>
      <c r="B236" s="12"/>
      <c r="C236" s="12"/>
      <c r="D236" s="12"/>
      <c r="E236" s="12"/>
      <c r="F236" s="12"/>
      <c r="G236" s="10"/>
      <c r="H236" s="8"/>
      <c r="I236" s="12"/>
      <c r="J236" s="8"/>
      <c r="K236" s="8"/>
      <c r="L236" s="8"/>
      <c r="M236" s="8"/>
      <c r="N236" s="8"/>
      <c r="O236" s="8"/>
      <c r="P236" s="12"/>
      <c r="Q236" s="8"/>
      <c r="R236" s="12"/>
      <c r="T236" s="12"/>
      <c r="AH236" s="8"/>
      <c r="AI236" s="8"/>
      <c r="AJ236" s="8"/>
    </row>
    <row r="237" ht="14.25" customHeight="1">
      <c r="A237" s="44"/>
      <c r="B237" s="12"/>
      <c r="C237" s="12"/>
      <c r="D237" s="12"/>
      <c r="E237" s="12"/>
      <c r="F237" s="12"/>
      <c r="G237" s="10"/>
      <c r="H237" s="8"/>
      <c r="I237" s="12"/>
      <c r="J237" s="8"/>
      <c r="K237" s="8"/>
      <c r="L237" s="8"/>
      <c r="M237" s="8"/>
      <c r="N237" s="8"/>
      <c r="O237" s="8"/>
      <c r="P237" s="12"/>
      <c r="Q237" s="8"/>
      <c r="R237" s="12"/>
      <c r="T237" s="12"/>
      <c r="AH237" s="8"/>
      <c r="AI237" s="8"/>
      <c r="AJ237" s="8"/>
    </row>
    <row r="238" ht="14.25" customHeight="1">
      <c r="A238" s="44"/>
      <c r="B238" s="12"/>
      <c r="C238" s="12"/>
      <c r="D238" s="12"/>
      <c r="E238" s="12"/>
      <c r="F238" s="12"/>
      <c r="G238" s="10"/>
      <c r="H238" s="8"/>
      <c r="I238" s="12"/>
      <c r="J238" s="8"/>
      <c r="K238" s="8"/>
      <c r="L238" s="8"/>
      <c r="M238" s="8"/>
      <c r="N238" s="8"/>
      <c r="O238" s="8"/>
      <c r="P238" s="12"/>
      <c r="Q238" s="8"/>
      <c r="R238" s="12"/>
      <c r="T238" s="12"/>
      <c r="AH238" s="8"/>
      <c r="AI238" s="8"/>
      <c r="AJ238" s="8"/>
    </row>
    <row r="239" ht="14.25" customHeight="1">
      <c r="A239" s="44"/>
      <c r="B239" s="12"/>
      <c r="C239" s="12"/>
      <c r="D239" s="12"/>
      <c r="E239" s="12"/>
      <c r="F239" s="12"/>
      <c r="G239" s="10"/>
      <c r="H239" s="8"/>
      <c r="I239" s="12"/>
      <c r="J239" s="8"/>
      <c r="K239" s="8"/>
      <c r="L239" s="8"/>
      <c r="M239" s="8"/>
      <c r="N239" s="8"/>
      <c r="O239" s="8"/>
      <c r="P239" s="12"/>
      <c r="Q239" s="8"/>
      <c r="R239" s="12"/>
      <c r="T239" s="12"/>
      <c r="AH239" s="8"/>
      <c r="AI239" s="8"/>
      <c r="AJ239" s="8"/>
    </row>
    <row r="240" ht="14.25" customHeight="1">
      <c r="A240" s="44"/>
      <c r="B240" s="12"/>
      <c r="C240" s="12"/>
      <c r="D240" s="12"/>
      <c r="E240" s="12"/>
      <c r="F240" s="12"/>
      <c r="G240" s="10"/>
      <c r="H240" s="8"/>
      <c r="I240" s="12"/>
      <c r="J240" s="8"/>
      <c r="K240" s="8"/>
      <c r="L240" s="8"/>
      <c r="M240" s="8"/>
      <c r="N240" s="8"/>
      <c r="O240" s="8"/>
      <c r="P240" s="12"/>
      <c r="Q240" s="8"/>
      <c r="R240" s="12"/>
      <c r="T240" s="12"/>
      <c r="AH240" s="8"/>
      <c r="AI240" s="8"/>
      <c r="AJ240" s="8"/>
    </row>
    <row r="241" ht="14.25" customHeight="1">
      <c r="A241" s="44"/>
      <c r="B241" s="12"/>
      <c r="C241" s="12"/>
      <c r="D241" s="12"/>
      <c r="E241" s="12"/>
      <c r="F241" s="12"/>
      <c r="G241" s="10"/>
      <c r="H241" s="8"/>
      <c r="I241" s="12"/>
      <c r="J241" s="8"/>
      <c r="K241" s="8"/>
      <c r="L241" s="8"/>
      <c r="M241" s="8"/>
      <c r="N241" s="8"/>
      <c r="O241" s="8"/>
      <c r="P241" s="12"/>
      <c r="Q241" s="8"/>
      <c r="R241" s="12"/>
      <c r="T241" s="12"/>
      <c r="AH241" s="8"/>
      <c r="AI241" s="8"/>
      <c r="AJ241" s="8"/>
    </row>
    <row r="242" ht="14.25" customHeight="1">
      <c r="A242" s="44"/>
      <c r="B242" s="12"/>
      <c r="C242" s="12"/>
      <c r="D242" s="12"/>
      <c r="E242" s="12"/>
      <c r="F242" s="12"/>
      <c r="G242" s="10"/>
      <c r="H242" s="8"/>
      <c r="I242" s="12"/>
      <c r="J242" s="8"/>
      <c r="K242" s="8"/>
      <c r="L242" s="8"/>
      <c r="M242" s="8"/>
      <c r="N242" s="8"/>
      <c r="O242" s="8"/>
      <c r="P242" s="12"/>
      <c r="Q242" s="8"/>
      <c r="R242" s="12"/>
      <c r="T242" s="12"/>
      <c r="AH242" s="8"/>
      <c r="AI242" s="8"/>
      <c r="AJ242" s="8"/>
    </row>
    <row r="243" ht="14.25" customHeight="1">
      <c r="A243" s="44"/>
      <c r="B243" s="12"/>
      <c r="C243" s="12"/>
      <c r="D243" s="12"/>
      <c r="E243" s="12"/>
      <c r="F243" s="12"/>
      <c r="G243" s="10"/>
      <c r="H243" s="8"/>
      <c r="I243" s="12"/>
      <c r="J243" s="8"/>
      <c r="K243" s="8"/>
      <c r="L243" s="8"/>
      <c r="M243" s="8"/>
      <c r="N243" s="8"/>
      <c r="O243" s="8"/>
      <c r="P243" s="12"/>
      <c r="Q243" s="8"/>
      <c r="R243" s="12"/>
      <c r="T243" s="12"/>
      <c r="AH243" s="8"/>
      <c r="AI243" s="8"/>
      <c r="AJ243" s="8"/>
    </row>
    <row r="244" ht="14.25" customHeight="1">
      <c r="A244" s="44"/>
      <c r="B244" s="12"/>
      <c r="C244" s="12"/>
      <c r="D244" s="12"/>
      <c r="E244" s="12"/>
      <c r="F244" s="12"/>
      <c r="G244" s="10"/>
      <c r="H244" s="8"/>
      <c r="I244" s="12"/>
      <c r="J244" s="8"/>
      <c r="K244" s="8"/>
      <c r="L244" s="8"/>
      <c r="M244" s="8"/>
      <c r="N244" s="8"/>
      <c r="O244" s="8"/>
      <c r="P244" s="12"/>
      <c r="Q244" s="8"/>
      <c r="R244" s="12"/>
      <c r="T244" s="12"/>
      <c r="AH244" s="8"/>
      <c r="AI244" s="8"/>
      <c r="AJ244" s="8"/>
    </row>
    <row r="245" ht="14.25" customHeight="1">
      <c r="A245" s="44"/>
      <c r="B245" s="12"/>
      <c r="C245" s="12"/>
      <c r="D245" s="12"/>
      <c r="E245" s="12"/>
      <c r="F245" s="12"/>
      <c r="G245" s="10"/>
      <c r="H245" s="8"/>
      <c r="I245" s="12"/>
      <c r="J245" s="8"/>
      <c r="K245" s="8"/>
      <c r="L245" s="8"/>
      <c r="M245" s="8"/>
      <c r="N245" s="8"/>
      <c r="O245" s="8"/>
      <c r="P245" s="12"/>
      <c r="Q245" s="8"/>
      <c r="R245" s="12"/>
      <c r="T245" s="12"/>
      <c r="AH245" s="8"/>
      <c r="AI245" s="8"/>
      <c r="AJ245" s="8"/>
    </row>
    <row r="246" ht="14.25" customHeight="1">
      <c r="A246" s="44"/>
      <c r="B246" s="12"/>
      <c r="C246" s="12"/>
      <c r="D246" s="12"/>
      <c r="E246" s="12"/>
      <c r="F246" s="12"/>
      <c r="G246" s="10"/>
      <c r="H246" s="8"/>
      <c r="I246" s="12"/>
      <c r="J246" s="8"/>
      <c r="K246" s="8"/>
      <c r="L246" s="8"/>
      <c r="M246" s="8"/>
      <c r="N246" s="8"/>
      <c r="O246" s="8"/>
      <c r="P246" s="12"/>
      <c r="Q246" s="8"/>
      <c r="R246" s="12"/>
      <c r="T246" s="12"/>
      <c r="AH246" s="8"/>
      <c r="AI246" s="8"/>
      <c r="AJ246" s="8"/>
    </row>
    <row r="247" ht="14.25" customHeight="1">
      <c r="A247" s="44"/>
      <c r="B247" s="12"/>
      <c r="C247" s="12"/>
      <c r="D247" s="12"/>
      <c r="E247" s="12"/>
      <c r="F247" s="12"/>
      <c r="G247" s="10"/>
      <c r="H247" s="8"/>
      <c r="I247" s="12"/>
      <c r="J247" s="8"/>
      <c r="K247" s="8"/>
      <c r="L247" s="8"/>
      <c r="M247" s="8"/>
      <c r="N247" s="8"/>
      <c r="O247" s="8"/>
      <c r="P247" s="12"/>
      <c r="Q247" s="8"/>
      <c r="R247" s="12"/>
      <c r="T247" s="12"/>
      <c r="AH247" s="8"/>
      <c r="AI247" s="8"/>
      <c r="AJ247" s="8"/>
    </row>
    <row r="248" ht="14.25" customHeight="1">
      <c r="A248" s="44"/>
      <c r="B248" s="12"/>
      <c r="C248" s="12"/>
      <c r="D248" s="12"/>
      <c r="E248" s="12"/>
      <c r="F248" s="12"/>
      <c r="G248" s="10"/>
      <c r="H248" s="8"/>
      <c r="I248" s="12"/>
      <c r="J248" s="8"/>
      <c r="K248" s="8"/>
      <c r="L248" s="8"/>
      <c r="M248" s="8"/>
      <c r="N248" s="8"/>
      <c r="O248" s="8"/>
      <c r="P248" s="12"/>
      <c r="Q248" s="8"/>
      <c r="R248" s="12"/>
      <c r="T248" s="12"/>
      <c r="AH248" s="8"/>
      <c r="AI248" s="8"/>
      <c r="AJ248" s="8"/>
    </row>
    <row r="249" ht="14.25" customHeight="1">
      <c r="A249" s="44"/>
      <c r="B249" s="12"/>
      <c r="C249" s="12"/>
      <c r="D249" s="12"/>
      <c r="E249" s="12"/>
      <c r="F249" s="12"/>
      <c r="G249" s="10"/>
      <c r="H249" s="8"/>
      <c r="I249" s="12"/>
      <c r="J249" s="8"/>
      <c r="K249" s="8"/>
      <c r="L249" s="8"/>
      <c r="M249" s="8"/>
      <c r="N249" s="8"/>
      <c r="O249" s="8"/>
      <c r="P249" s="12"/>
      <c r="Q249" s="8"/>
      <c r="R249" s="12"/>
      <c r="T249" s="12"/>
      <c r="AH249" s="8"/>
      <c r="AI249" s="8"/>
      <c r="AJ249" s="8"/>
    </row>
    <row r="250" ht="14.25" customHeight="1">
      <c r="A250" s="44"/>
      <c r="B250" s="12"/>
      <c r="C250" s="12"/>
      <c r="D250" s="12"/>
      <c r="E250" s="12"/>
      <c r="F250" s="12"/>
      <c r="G250" s="10"/>
      <c r="H250" s="8"/>
      <c r="I250" s="12"/>
      <c r="J250" s="8"/>
      <c r="K250" s="8"/>
      <c r="L250" s="8"/>
      <c r="M250" s="8"/>
      <c r="N250" s="8"/>
      <c r="O250" s="8"/>
      <c r="P250" s="12"/>
      <c r="Q250" s="8"/>
      <c r="R250" s="12"/>
      <c r="T250" s="12"/>
      <c r="AH250" s="8"/>
      <c r="AI250" s="8"/>
      <c r="AJ250" s="8"/>
    </row>
    <row r="251" ht="14.25" customHeight="1">
      <c r="A251" s="44"/>
      <c r="B251" s="12"/>
      <c r="C251" s="12"/>
      <c r="D251" s="12"/>
      <c r="E251" s="12"/>
      <c r="F251" s="12"/>
      <c r="G251" s="10"/>
      <c r="H251" s="8"/>
      <c r="I251" s="12"/>
      <c r="J251" s="8"/>
      <c r="K251" s="8"/>
      <c r="L251" s="8"/>
      <c r="M251" s="8"/>
      <c r="N251" s="8"/>
      <c r="O251" s="8"/>
      <c r="P251" s="12"/>
      <c r="Q251" s="8"/>
      <c r="R251" s="12"/>
      <c r="T251" s="12"/>
      <c r="AH251" s="8"/>
      <c r="AI251" s="8"/>
      <c r="AJ251" s="8"/>
    </row>
    <row r="252" ht="14.25" customHeight="1">
      <c r="A252" s="44"/>
      <c r="B252" s="12"/>
      <c r="C252" s="12"/>
      <c r="D252" s="12"/>
      <c r="E252" s="12"/>
      <c r="F252" s="12"/>
      <c r="G252" s="10"/>
      <c r="H252" s="8"/>
      <c r="I252" s="12"/>
      <c r="J252" s="8"/>
      <c r="K252" s="8"/>
      <c r="L252" s="8"/>
      <c r="M252" s="8"/>
      <c r="N252" s="8"/>
      <c r="O252" s="8"/>
      <c r="P252" s="12"/>
      <c r="Q252" s="8"/>
      <c r="R252" s="12"/>
      <c r="T252" s="12"/>
      <c r="AH252" s="8"/>
      <c r="AI252" s="8"/>
      <c r="AJ252" s="8"/>
    </row>
    <row r="253" ht="14.25" customHeight="1">
      <c r="A253" s="44"/>
      <c r="B253" s="12"/>
      <c r="C253" s="12"/>
      <c r="D253" s="12"/>
      <c r="E253" s="12"/>
      <c r="F253" s="12"/>
      <c r="G253" s="10"/>
      <c r="H253" s="8"/>
      <c r="I253" s="12"/>
      <c r="J253" s="8"/>
      <c r="K253" s="8"/>
      <c r="L253" s="8"/>
      <c r="M253" s="8"/>
      <c r="N253" s="8"/>
      <c r="O253" s="8"/>
      <c r="P253" s="12"/>
      <c r="Q253" s="8"/>
      <c r="R253" s="12"/>
      <c r="T253" s="12"/>
      <c r="AH253" s="8"/>
      <c r="AI253" s="8"/>
      <c r="AJ253" s="8"/>
    </row>
    <row r="254" ht="14.25" customHeight="1">
      <c r="A254" s="44"/>
      <c r="B254" s="12"/>
      <c r="C254" s="12"/>
      <c r="D254" s="12"/>
      <c r="E254" s="12"/>
      <c r="F254" s="12"/>
      <c r="G254" s="10"/>
      <c r="H254" s="8"/>
      <c r="I254" s="12"/>
      <c r="J254" s="8"/>
      <c r="K254" s="8"/>
      <c r="L254" s="8"/>
      <c r="M254" s="8"/>
      <c r="N254" s="8"/>
      <c r="O254" s="8"/>
      <c r="P254" s="12"/>
      <c r="Q254" s="8"/>
      <c r="R254" s="12"/>
      <c r="T254" s="12"/>
      <c r="AH254" s="8"/>
      <c r="AI254" s="8"/>
      <c r="AJ254" s="8"/>
    </row>
    <row r="255" ht="14.25" customHeight="1">
      <c r="A255" s="44"/>
      <c r="B255" s="12"/>
      <c r="C255" s="12"/>
      <c r="D255" s="12"/>
      <c r="E255" s="12"/>
      <c r="F255" s="12"/>
      <c r="G255" s="10"/>
      <c r="H255" s="8"/>
      <c r="I255" s="12"/>
      <c r="J255" s="8"/>
      <c r="K255" s="8"/>
      <c r="L255" s="8"/>
      <c r="M255" s="8"/>
      <c r="N255" s="8"/>
      <c r="O255" s="8"/>
      <c r="P255" s="12"/>
      <c r="Q255" s="8"/>
      <c r="R255" s="12"/>
      <c r="T255" s="12"/>
      <c r="AH255" s="8"/>
      <c r="AI255" s="8"/>
      <c r="AJ255" s="8"/>
    </row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J4:L4"/>
    <mergeCell ref="M4:O4"/>
    <mergeCell ref="P4:R4"/>
    <mergeCell ref="S4:U4"/>
    <mergeCell ref="V4:X4"/>
    <mergeCell ref="Y4:AA4"/>
    <mergeCell ref="D3:I3"/>
    <mergeCell ref="J3:O3"/>
    <mergeCell ref="P3:U3"/>
    <mergeCell ref="V3:AA3"/>
    <mergeCell ref="B4:C4"/>
    <mergeCell ref="D4:F4"/>
    <mergeCell ref="G4:I4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2" width="4.29"/>
    <col customWidth="1" min="3" max="5" width="8.86"/>
    <col customWidth="1" min="6" max="6" width="202.43"/>
    <col customWidth="1" min="7" max="23" width="8.71"/>
  </cols>
  <sheetData>
    <row r="1" ht="18.75" customHeight="1">
      <c r="A1" s="65" t="s">
        <v>856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65" t="s">
        <v>857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65" t="s">
        <v>858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65"/>
      <c r="B4" s="66" t="s">
        <v>859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65"/>
      <c r="B5" s="65"/>
      <c r="C5" s="65" t="s">
        <v>860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65"/>
      <c r="B6" s="65"/>
      <c r="C6" s="65" t="s">
        <v>861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8.75" customHeight="1">
      <c r="A7" s="65"/>
      <c r="B7" s="65"/>
      <c r="C7" s="65" t="s">
        <v>862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12"/>
      <c r="B8" s="12"/>
      <c r="C8" s="12"/>
    </row>
    <row r="9" ht="14.25" customHeight="1">
      <c r="A9" s="12"/>
      <c r="B9" s="12"/>
      <c r="C9" s="12"/>
    </row>
    <row r="10" ht="14.25" customHeight="1">
      <c r="A10" s="12"/>
      <c r="B10" s="12"/>
      <c r="C10" s="12"/>
    </row>
    <row r="11" ht="14.25" customHeight="1">
      <c r="A11" s="12"/>
      <c r="B11" s="12"/>
      <c r="C11" s="12"/>
    </row>
    <row r="12" ht="14.25" customHeight="1">
      <c r="A12" s="12"/>
      <c r="B12" s="12"/>
      <c r="C12" s="12"/>
    </row>
    <row r="13" ht="14.25" customHeight="1">
      <c r="A13" s="12"/>
      <c r="B13" s="12"/>
      <c r="C13" s="12"/>
    </row>
    <row r="14" ht="14.25" customHeight="1">
      <c r="A14" s="12"/>
      <c r="B14" s="12"/>
      <c r="C14" s="12"/>
    </row>
    <row r="15" ht="14.25" customHeight="1">
      <c r="A15" s="12"/>
      <c r="B15" s="12"/>
      <c r="C15" s="12"/>
    </row>
    <row r="16" ht="14.25" customHeight="1">
      <c r="A16" s="12"/>
      <c r="B16" s="12"/>
      <c r="C16" s="12"/>
    </row>
    <row r="17" ht="14.25" customHeight="1">
      <c r="A17" s="12"/>
      <c r="B17" s="12"/>
      <c r="C17" s="12"/>
    </row>
    <row r="18" ht="14.25" customHeight="1">
      <c r="A18" s="12"/>
      <c r="B18" s="12"/>
      <c r="C18" s="12"/>
    </row>
    <row r="19" ht="14.25" customHeight="1">
      <c r="A19" s="12"/>
      <c r="B19" s="12"/>
      <c r="C19" s="12"/>
    </row>
    <row r="20" ht="14.25" customHeight="1">
      <c r="A20" s="12"/>
      <c r="B20" s="12"/>
      <c r="C20" s="12"/>
    </row>
    <row r="21" ht="14.25" customHeight="1">
      <c r="A21" s="12"/>
      <c r="B21" s="12"/>
      <c r="C21" s="12"/>
    </row>
    <row r="22" ht="14.25" customHeight="1">
      <c r="A22" s="12"/>
      <c r="B22" s="12"/>
      <c r="C22" s="12"/>
    </row>
    <row r="23" ht="14.25" customHeight="1">
      <c r="A23" s="12"/>
      <c r="B23" s="12"/>
      <c r="C23" s="12"/>
    </row>
    <row r="24" ht="14.25" customHeight="1">
      <c r="A24" s="12"/>
      <c r="B24" s="12"/>
      <c r="C24" s="12"/>
    </row>
    <row r="25" ht="14.25" customHeight="1">
      <c r="A25" s="12"/>
      <c r="B25" s="12"/>
      <c r="C25" s="12"/>
    </row>
    <row r="26" ht="14.25" customHeight="1">
      <c r="A26" s="12"/>
      <c r="B26" s="12"/>
      <c r="C26" s="12"/>
    </row>
    <row r="27" ht="14.25" customHeight="1">
      <c r="A27" s="12"/>
      <c r="B27" s="12"/>
      <c r="C27" s="12"/>
    </row>
    <row r="28" ht="14.25" customHeight="1">
      <c r="A28" s="12"/>
      <c r="B28" s="12"/>
      <c r="C28" s="12"/>
    </row>
    <row r="29" ht="14.25" customHeight="1">
      <c r="A29" s="12"/>
      <c r="B29" s="12"/>
      <c r="C29" s="12"/>
    </row>
    <row r="30" ht="14.25" customHeight="1">
      <c r="A30" s="12"/>
      <c r="B30" s="12"/>
      <c r="C30" s="12"/>
    </row>
    <row r="31" ht="14.25" customHeight="1">
      <c r="A31" s="12"/>
      <c r="B31" s="12"/>
      <c r="C31" s="12"/>
    </row>
    <row r="32" ht="14.25" customHeight="1">
      <c r="A32" s="12"/>
      <c r="B32" s="12"/>
      <c r="C32" s="12"/>
    </row>
    <row r="33" ht="14.25" customHeight="1">
      <c r="A33" s="12"/>
      <c r="B33" s="12"/>
      <c r="C33" s="12"/>
    </row>
    <row r="34" ht="14.25" customHeight="1">
      <c r="A34" s="12"/>
      <c r="B34" s="12"/>
      <c r="C34" s="12"/>
    </row>
    <row r="35" ht="14.25" customHeight="1">
      <c r="A35" s="12"/>
      <c r="B35" s="12"/>
      <c r="C35" s="12"/>
    </row>
    <row r="36" ht="14.25" customHeight="1">
      <c r="A36" s="12"/>
      <c r="B36" s="12"/>
      <c r="C36" s="12"/>
    </row>
    <row r="37" ht="14.25" customHeight="1">
      <c r="A37" s="12"/>
      <c r="B37" s="12"/>
      <c r="C37" s="12"/>
    </row>
    <row r="38" ht="14.25" customHeight="1">
      <c r="A38" s="12"/>
      <c r="B38" s="12"/>
      <c r="C38" s="12"/>
    </row>
    <row r="39" ht="14.25" customHeight="1">
      <c r="A39" s="12"/>
      <c r="B39" s="12"/>
      <c r="C39" s="12"/>
    </row>
    <row r="40" ht="14.25" customHeight="1">
      <c r="A40" s="12"/>
      <c r="B40" s="12"/>
      <c r="C40" s="12"/>
    </row>
    <row r="41" ht="14.25" customHeight="1">
      <c r="A41" s="12"/>
      <c r="B41" s="12"/>
      <c r="C41" s="12"/>
    </row>
    <row r="42" ht="14.25" customHeight="1">
      <c r="A42" s="12"/>
      <c r="B42" s="12"/>
      <c r="C42" s="12"/>
    </row>
    <row r="43" ht="14.25" customHeight="1">
      <c r="A43" s="12"/>
      <c r="B43" s="12"/>
      <c r="C43" s="12"/>
    </row>
    <row r="44" ht="14.25" customHeight="1">
      <c r="A44" s="12"/>
      <c r="B44" s="12"/>
      <c r="C44" s="12"/>
    </row>
    <row r="45" ht="14.25" customHeight="1">
      <c r="A45" s="12"/>
      <c r="B45" s="12"/>
      <c r="C45" s="12"/>
    </row>
    <row r="46" ht="14.25" customHeight="1">
      <c r="A46" s="12"/>
      <c r="B46" s="12"/>
      <c r="C46" s="12"/>
    </row>
    <row r="47" ht="14.25" customHeight="1">
      <c r="A47" s="12"/>
      <c r="B47" s="12"/>
      <c r="C47" s="12"/>
    </row>
    <row r="48" ht="14.25" customHeight="1">
      <c r="A48" s="12"/>
      <c r="B48" s="12"/>
      <c r="C48" s="12"/>
    </row>
    <row r="49" ht="14.25" customHeight="1">
      <c r="A49" s="12"/>
      <c r="B49" s="12"/>
      <c r="C49" s="12"/>
    </row>
    <row r="50" ht="14.25" customHeight="1">
      <c r="A50" s="12"/>
      <c r="B50" s="12"/>
      <c r="C50" s="12"/>
    </row>
    <row r="51" ht="14.25" customHeight="1">
      <c r="A51" s="12"/>
      <c r="B51" s="12"/>
      <c r="C51" s="12"/>
    </row>
    <row r="52" ht="14.25" customHeight="1">
      <c r="A52" s="12"/>
      <c r="B52" s="12"/>
      <c r="C52" s="12"/>
    </row>
    <row r="53" ht="14.25" customHeight="1">
      <c r="A53" s="12"/>
      <c r="B53" s="12"/>
      <c r="C53" s="12"/>
    </row>
    <row r="54" ht="14.25" customHeight="1">
      <c r="A54" s="12"/>
      <c r="B54" s="12"/>
      <c r="C54" s="12"/>
    </row>
    <row r="55" ht="14.25" customHeight="1">
      <c r="A55" s="12"/>
      <c r="B55" s="12"/>
      <c r="C55" s="12"/>
    </row>
    <row r="56" ht="14.25" customHeight="1">
      <c r="A56" s="12"/>
      <c r="B56" s="12"/>
      <c r="C56" s="12"/>
    </row>
    <row r="57" ht="14.25" customHeight="1">
      <c r="A57" s="12"/>
      <c r="B57" s="12"/>
      <c r="C57" s="12"/>
    </row>
    <row r="58" ht="14.25" customHeight="1">
      <c r="A58" s="12"/>
      <c r="B58" s="12"/>
      <c r="C58" s="12"/>
    </row>
    <row r="59" ht="14.25" customHeight="1">
      <c r="A59" s="12"/>
      <c r="B59" s="12"/>
      <c r="C59" s="12"/>
    </row>
    <row r="60" ht="14.25" customHeight="1">
      <c r="A60" s="12"/>
      <c r="B60" s="12"/>
      <c r="C60" s="12"/>
    </row>
    <row r="61" ht="14.25" customHeight="1">
      <c r="A61" s="12"/>
      <c r="B61" s="12"/>
      <c r="C61" s="12"/>
    </row>
    <row r="62" ht="14.25" customHeight="1">
      <c r="A62" s="12"/>
      <c r="B62" s="12"/>
      <c r="C62" s="12"/>
    </row>
    <row r="63" ht="14.25" customHeight="1">
      <c r="A63" s="12"/>
      <c r="B63" s="12"/>
      <c r="C63" s="12"/>
    </row>
    <row r="64" ht="14.25" customHeight="1">
      <c r="A64" s="12"/>
      <c r="B64" s="12"/>
      <c r="C64" s="12"/>
    </row>
    <row r="65" ht="14.25" customHeight="1">
      <c r="A65" s="12"/>
      <c r="B65" s="12"/>
      <c r="C65" s="12"/>
    </row>
    <row r="66" ht="14.25" customHeight="1">
      <c r="A66" s="12"/>
      <c r="B66" s="12"/>
      <c r="C66" s="12"/>
    </row>
    <row r="67" ht="14.25" customHeight="1">
      <c r="A67" s="12"/>
      <c r="B67" s="12"/>
      <c r="C67" s="12"/>
    </row>
    <row r="68" ht="14.25" customHeight="1">
      <c r="A68" s="12"/>
      <c r="B68" s="12"/>
      <c r="C68" s="12"/>
    </row>
    <row r="69" ht="14.25" customHeight="1">
      <c r="A69" s="12"/>
      <c r="B69" s="12"/>
      <c r="C69" s="12"/>
    </row>
    <row r="70" ht="14.25" customHeight="1">
      <c r="A70" s="12"/>
      <c r="B70" s="12"/>
      <c r="C70" s="12"/>
    </row>
    <row r="71" ht="14.25" customHeight="1">
      <c r="A71" s="12"/>
      <c r="B71" s="12"/>
      <c r="C71" s="12"/>
    </row>
    <row r="72" ht="14.25" customHeight="1">
      <c r="A72" s="12"/>
      <c r="B72" s="12"/>
      <c r="C72" s="12"/>
    </row>
    <row r="73" ht="14.25" customHeight="1">
      <c r="A73" s="12"/>
      <c r="B73" s="12"/>
      <c r="C73" s="12"/>
    </row>
    <row r="74" ht="14.25" customHeight="1">
      <c r="A74" s="12"/>
      <c r="B74" s="12"/>
      <c r="C74" s="12"/>
    </row>
    <row r="75" ht="14.25" customHeight="1">
      <c r="A75" s="12"/>
      <c r="B75" s="12"/>
      <c r="C75" s="12"/>
    </row>
    <row r="76" ht="14.25" customHeight="1">
      <c r="A76" s="12"/>
      <c r="B76" s="12"/>
      <c r="C76" s="12"/>
    </row>
    <row r="77" ht="14.25" customHeight="1">
      <c r="A77" s="12"/>
      <c r="B77" s="12"/>
      <c r="C77" s="12"/>
    </row>
    <row r="78" ht="14.25" customHeight="1">
      <c r="A78" s="12"/>
      <c r="B78" s="12"/>
      <c r="C78" s="12"/>
    </row>
    <row r="79" ht="14.25" customHeight="1">
      <c r="A79" s="12"/>
      <c r="B79" s="12"/>
      <c r="C79" s="12"/>
    </row>
    <row r="80" ht="14.25" customHeight="1">
      <c r="A80" s="12"/>
      <c r="B80" s="12"/>
      <c r="C80" s="12"/>
    </row>
    <row r="81" ht="14.25" customHeight="1">
      <c r="A81" s="12"/>
      <c r="B81" s="12"/>
      <c r="C81" s="12"/>
    </row>
    <row r="82" ht="14.25" customHeight="1">
      <c r="A82" s="12"/>
      <c r="B82" s="12"/>
      <c r="C82" s="12"/>
    </row>
    <row r="83" ht="14.25" customHeight="1">
      <c r="A83" s="12"/>
      <c r="B83" s="12"/>
      <c r="C83" s="12"/>
    </row>
    <row r="84" ht="14.25" customHeight="1">
      <c r="A84" s="12"/>
      <c r="B84" s="12"/>
      <c r="C84" s="12"/>
    </row>
    <row r="85" ht="14.25" customHeight="1">
      <c r="A85" s="12"/>
      <c r="B85" s="12"/>
      <c r="C85" s="12"/>
    </row>
    <row r="86" ht="14.25" customHeight="1">
      <c r="A86" s="12"/>
      <c r="B86" s="12"/>
      <c r="C86" s="12"/>
    </row>
    <row r="87" ht="14.25" customHeight="1">
      <c r="A87" s="12"/>
      <c r="B87" s="12"/>
      <c r="C87" s="12"/>
    </row>
    <row r="88" ht="14.25" customHeight="1">
      <c r="A88" s="12"/>
      <c r="B88" s="12"/>
      <c r="C88" s="12"/>
    </row>
    <row r="89" ht="14.25" customHeight="1">
      <c r="A89" s="12"/>
      <c r="B89" s="12"/>
      <c r="C89" s="12"/>
    </row>
    <row r="90" ht="14.25" customHeight="1">
      <c r="A90" s="12"/>
      <c r="B90" s="12"/>
      <c r="C90" s="12"/>
    </row>
    <row r="91" ht="14.25" customHeight="1">
      <c r="A91" s="12"/>
      <c r="B91" s="12"/>
      <c r="C91" s="12"/>
    </row>
    <row r="92" ht="14.25" customHeight="1">
      <c r="A92" s="12"/>
      <c r="B92" s="12"/>
      <c r="C92" s="12"/>
    </row>
    <row r="93" ht="14.25" customHeight="1">
      <c r="A93" s="12"/>
      <c r="B93" s="12"/>
      <c r="C93" s="12"/>
    </row>
    <row r="94" ht="14.25" customHeight="1">
      <c r="A94" s="12"/>
      <c r="B94" s="12"/>
      <c r="C94" s="12"/>
    </row>
    <row r="95" ht="14.25" customHeight="1">
      <c r="A95" s="12"/>
      <c r="B95" s="12"/>
      <c r="C95" s="12"/>
    </row>
    <row r="96" ht="14.25" customHeight="1">
      <c r="A96" s="12"/>
      <c r="B96" s="12"/>
      <c r="C96" s="12"/>
    </row>
    <row r="97" ht="14.25" customHeight="1">
      <c r="A97" s="12"/>
      <c r="B97" s="12"/>
      <c r="C97" s="12"/>
    </row>
    <row r="98" ht="14.25" customHeight="1">
      <c r="A98" s="12"/>
      <c r="B98" s="12"/>
      <c r="C98" s="12"/>
    </row>
    <row r="99" ht="14.25" customHeight="1">
      <c r="A99" s="12"/>
      <c r="B99" s="12"/>
      <c r="C99" s="12"/>
    </row>
    <row r="100" ht="14.25" customHeight="1">
      <c r="A100" s="12"/>
      <c r="B100" s="12"/>
      <c r="C100" s="12"/>
    </row>
    <row r="101" ht="14.25" customHeight="1">
      <c r="A101" s="12"/>
      <c r="B101" s="12"/>
      <c r="C101" s="12"/>
    </row>
    <row r="102" ht="14.25" customHeight="1">
      <c r="A102" s="12"/>
      <c r="B102" s="12"/>
      <c r="C102" s="12"/>
    </row>
    <row r="103" ht="14.25" customHeight="1">
      <c r="A103" s="12"/>
      <c r="B103" s="12"/>
      <c r="C103" s="12"/>
    </row>
    <row r="104" ht="14.25" customHeight="1">
      <c r="A104" s="12"/>
      <c r="B104" s="12"/>
      <c r="C104" s="12"/>
    </row>
    <row r="105" ht="14.25" customHeight="1">
      <c r="A105" s="12"/>
      <c r="B105" s="12"/>
      <c r="C105" s="12"/>
    </row>
    <row r="106" ht="14.25" customHeight="1">
      <c r="A106" s="12"/>
      <c r="B106" s="12"/>
      <c r="C106" s="12"/>
    </row>
    <row r="107" ht="14.25" customHeight="1">
      <c r="A107" s="12"/>
      <c r="B107" s="12"/>
      <c r="C107" s="12"/>
    </row>
    <row r="108" ht="14.25" customHeight="1">
      <c r="A108" s="12"/>
      <c r="B108" s="12"/>
      <c r="C108" s="12"/>
    </row>
    <row r="109" ht="14.25" customHeight="1">
      <c r="A109" s="12"/>
      <c r="B109" s="12"/>
      <c r="C109" s="12"/>
    </row>
    <row r="110" ht="14.25" customHeight="1">
      <c r="A110" s="12"/>
      <c r="B110" s="12"/>
      <c r="C110" s="12"/>
    </row>
    <row r="111" ht="14.25" customHeight="1">
      <c r="A111" s="12"/>
      <c r="B111" s="12"/>
      <c r="C111" s="12"/>
    </row>
    <row r="112" ht="14.25" customHeight="1">
      <c r="A112" s="12"/>
      <c r="B112" s="12"/>
      <c r="C112" s="12"/>
    </row>
    <row r="113" ht="14.25" customHeight="1">
      <c r="A113" s="12"/>
      <c r="B113" s="12"/>
      <c r="C113" s="12"/>
    </row>
    <row r="114" ht="14.25" customHeight="1">
      <c r="A114" s="12"/>
      <c r="B114" s="12"/>
      <c r="C114" s="12"/>
    </row>
    <row r="115" ht="14.25" customHeight="1">
      <c r="A115" s="12"/>
      <c r="B115" s="12"/>
      <c r="C115" s="12"/>
    </row>
    <row r="116" ht="14.25" customHeight="1">
      <c r="A116" s="12"/>
      <c r="B116" s="12"/>
      <c r="C116" s="12"/>
    </row>
    <row r="117" ht="14.25" customHeight="1">
      <c r="A117" s="12"/>
      <c r="B117" s="12"/>
      <c r="C117" s="12"/>
    </row>
    <row r="118" ht="14.25" customHeight="1">
      <c r="A118" s="12"/>
      <c r="B118" s="12"/>
      <c r="C118" s="12"/>
    </row>
    <row r="119" ht="14.25" customHeight="1">
      <c r="A119" s="12"/>
      <c r="B119" s="12"/>
      <c r="C119" s="12"/>
    </row>
    <row r="120" ht="14.25" customHeight="1">
      <c r="A120" s="12"/>
      <c r="B120" s="12"/>
      <c r="C120" s="12"/>
    </row>
    <row r="121" ht="14.25" customHeight="1">
      <c r="A121" s="12"/>
      <c r="B121" s="12"/>
      <c r="C121" s="12"/>
    </row>
    <row r="122" ht="14.25" customHeight="1">
      <c r="A122" s="12"/>
      <c r="B122" s="12"/>
      <c r="C122" s="12"/>
    </row>
    <row r="123" ht="14.25" customHeight="1">
      <c r="A123" s="12"/>
      <c r="B123" s="12"/>
      <c r="C123" s="12"/>
    </row>
    <row r="124" ht="14.25" customHeight="1">
      <c r="A124" s="12"/>
      <c r="B124" s="12"/>
      <c r="C124" s="12"/>
    </row>
    <row r="125" ht="14.25" customHeight="1">
      <c r="A125" s="12"/>
      <c r="B125" s="12"/>
      <c r="C125" s="12"/>
    </row>
    <row r="126" ht="14.25" customHeight="1">
      <c r="A126" s="12"/>
      <c r="B126" s="12"/>
      <c r="C126" s="12"/>
    </row>
    <row r="127" ht="14.25" customHeight="1">
      <c r="A127" s="12"/>
      <c r="B127" s="12"/>
      <c r="C127" s="12"/>
    </row>
    <row r="128" ht="14.25" customHeight="1">
      <c r="A128" s="12"/>
      <c r="B128" s="12"/>
      <c r="C128" s="12"/>
    </row>
    <row r="129" ht="14.25" customHeight="1">
      <c r="A129" s="12"/>
      <c r="B129" s="12"/>
      <c r="C129" s="12"/>
    </row>
    <row r="130" ht="14.25" customHeight="1">
      <c r="A130" s="12"/>
      <c r="B130" s="12"/>
      <c r="C130" s="12"/>
    </row>
    <row r="131" ht="14.25" customHeight="1">
      <c r="A131" s="12"/>
      <c r="B131" s="12"/>
      <c r="C131" s="12"/>
    </row>
    <row r="132" ht="14.25" customHeight="1">
      <c r="A132" s="12"/>
      <c r="B132" s="12"/>
      <c r="C132" s="12"/>
    </row>
    <row r="133" ht="14.25" customHeight="1">
      <c r="A133" s="12"/>
      <c r="B133" s="12"/>
      <c r="C133" s="12"/>
    </row>
    <row r="134" ht="14.25" customHeight="1">
      <c r="A134" s="12"/>
      <c r="B134" s="12"/>
      <c r="C134" s="12"/>
    </row>
    <row r="135" ht="14.25" customHeight="1">
      <c r="A135" s="12"/>
      <c r="B135" s="12"/>
      <c r="C135" s="12"/>
    </row>
    <row r="136" ht="14.25" customHeight="1">
      <c r="A136" s="12"/>
      <c r="B136" s="12"/>
      <c r="C136" s="12"/>
    </row>
    <row r="137" ht="14.25" customHeight="1">
      <c r="A137" s="12"/>
      <c r="B137" s="12"/>
      <c r="C137" s="12"/>
    </row>
    <row r="138" ht="14.25" customHeight="1">
      <c r="A138" s="12"/>
      <c r="B138" s="12"/>
      <c r="C138" s="12"/>
    </row>
    <row r="139" ht="14.25" customHeight="1">
      <c r="A139" s="12"/>
      <c r="B139" s="12"/>
      <c r="C139" s="12"/>
    </row>
    <row r="140" ht="14.25" customHeight="1">
      <c r="A140" s="12"/>
      <c r="B140" s="12"/>
      <c r="C140" s="12"/>
    </row>
    <row r="141" ht="14.25" customHeight="1">
      <c r="A141" s="12"/>
      <c r="B141" s="12"/>
      <c r="C141" s="12"/>
    </row>
    <row r="142" ht="14.25" customHeight="1">
      <c r="A142" s="12"/>
      <c r="B142" s="12"/>
      <c r="C142" s="12"/>
    </row>
    <row r="143" ht="14.25" customHeight="1">
      <c r="A143" s="12"/>
      <c r="B143" s="12"/>
      <c r="C143" s="12"/>
    </row>
    <row r="144" ht="14.25" customHeight="1">
      <c r="A144" s="12"/>
      <c r="B144" s="12"/>
      <c r="C144" s="12"/>
    </row>
    <row r="145" ht="14.25" customHeight="1">
      <c r="A145" s="12"/>
      <c r="B145" s="12"/>
      <c r="C145" s="12"/>
    </row>
    <row r="146" ht="14.25" customHeight="1">
      <c r="A146" s="12"/>
      <c r="B146" s="12"/>
      <c r="C146" s="12"/>
    </row>
    <row r="147" ht="14.25" customHeight="1">
      <c r="A147" s="12"/>
      <c r="B147" s="12"/>
      <c r="C147" s="12"/>
    </row>
    <row r="148" ht="14.25" customHeight="1">
      <c r="A148" s="12"/>
      <c r="B148" s="12"/>
      <c r="C148" s="12"/>
    </row>
    <row r="149" ht="14.25" customHeight="1">
      <c r="A149" s="12"/>
      <c r="B149" s="12"/>
      <c r="C149" s="12"/>
    </row>
    <row r="150" ht="14.25" customHeight="1">
      <c r="A150" s="12"/>
      <c r="B150" s="12"/>
      <c r="C150" s="12"/>
    </row>
    <row r="151" ht="14.25" customHeight="1">
      <c r="A151" s="12"/>
      <c r="B151" s="12"/>
      <c r="C151" s="12"/>
    </row>
    <row r="152" ht="14.25" customHeight="1">
      <c r="A152" s="12"/>
      <c r="B152" s="12"/>
      <c r="C152" s="12"/>
    </row>
    <row r="153" ht="14.25" customHeight="1">
      <c r="A153" s="12"/>
      <c r="B153" s="12"/>
      <c r="C153" s="12"/>
    </row>
    <row r="154" ht="14.25" customHeight="1">
      <c r="A154" s="12"/>
      <c r="B154" s="12"/>
      <c r="C154" s="12"/>
    </row>
    <row r="155" ht="14.25" customHeight="1">
      <c r="A155" s="12"/>
      <c r="B155" s="12"/>
      <c r="C155" s="12"/>
    </row>
    <row r="156" ht="14.25" customHeight="1">
      <c r="A156" s="12"/>
      <c r="B156" s="12"/>
      <c r="C156" s="12"/>
    </row>
    <row r="157" ht="14.25" customHeight="1">
      <c r="A157" s="12"/>
      <c r="B157" s="12"/>
      <c r="C157" s="12"/>
    </row>
    <row r="158" ht="14.25" customHeight="1">
      <c r="A158" s="12"/>
      <c r="B158" s="12"/>
      <c r="C158" s="12"/>
    </row>
    <row r="159" ht="14.25" customHeight="1">
      <c r="A159" s="12"/>
      <c r="B159" s="12"/>
      <c r="C159" s="12"/>
    </row>
    <row r="160" ht="14.25" customHeight="1">
      <c r="A160" s="12"/>
      <c r="B160" s="12"/>
      <c r="C160" s="12"/>
    </row>
    <row r="161" ht="14.25" customHeight="1">
      <c r="A161" s="12"/>
      <c r="B161" s="12"/>
      <c r="C161" s="12"/>
    </row>
    <row r="162" ht="14.25" customHeight="1">
      <c r="A162" s="12"/>
      <c r="B162" s="12"/>
      <c r="C162" s="12"/>
    </row>
    <row r="163" ht="14.25" customHeight="1">
      <c r="A163" s="12"/>
      <c r="B163" s="12"/>
      <c r="C163" s="12"/>
    </row>
    <row r="164" ht="14.25" customHeight="1">
      <c r="A164" s="12"/>
      <c r="B164" s="12"/>
      <c r="C164" s="12"/>
    </row>
    <row r="165" ht="14.25" customHeight="1">
      <c r="A165" s="12"/>
      <c r="B165" s="12"/>
      <c r="C165" s="12"/>
    </row>
    <row r="166" ht="14.25" customHeight="1">
      <c r="A166" s="12"/>
      <c r="B166" s="12"/>
      <c r="C166" s="12"/>
    </row>
    <row r="167" ht="14.25" customHeight="1">
      <c r="A167" s="12"/>
      <c r="B167" s="12"/>
      <c r="C167" s="12"/>
    </row>
    <row r="168" ht="14.25" customHeight="1">
      <c r="A168" s="12"/>
      <c r="B168" s="12"/>
      <c r="C168" s="12"/>
    </row>
    <row r="169" ht="14.25" customHeight="1">
      <c r="A169" s="12"/>
      <c r="B169" s="12"/>
      <c r="C169" s="12"/>
    </row>
    <row r="170" ht="14.25" customHeight="1">
      <c r="A170" s="12"/>
      <c r="B170" s="12"/>
      <c r="C170" s="12"/>
    </row>
    <row r="171" ht="14.25" customHeight="1">
      <c r="A171" s="12"/>
      <c r="B171" s="12"/>
      <c r="C171" s="12"/>
    </row>
    <row r="172" ht="14.25" customHeight="1">
      <c r="A172" s="12"/>
      <c r="B172" s="12"/>
      <c r="C172" s="12"/>
    </row>
    <row r="173" ht="14.25" customHeight="1">
      <c r="A173" s="12"/>
      <c r="B173" s="12"/>
      <c r="C173" s="12"/>
    </row>
    <row r="174" ht="14.25" customHeight="1">
      <c r="A174" s="12"/>
      <c r="B174" s="12"/>
      <c r="C174" s="12"/>
    </row>
    <row r="175" ht="14.25" customHeight="1">
      <c r="A175" s="12"/>
      <c r="B175" s="12"/>
      <c r="C175" s="12"/>
    </row>
    <row r="176" ht="14.25" customHeight="1">
      <c r="A176" s="12"/>
      <c r="B176" s="12"/>
      <c r="C176" s="12"/>
    </row>
    <row r="177" ht="14.25" customHeight="1">
      <c r="A177" s="12"/>
      <c r="B177" s="12"/>
      <c r="C177" s="12"/>
    </row>
    <row r="178" ht="14.25" customHeight="1">
      <c r="A178" s="12"/>
      <c r="B178" s="12"/>
      <c r="C178" s="12"/>
    </row>
    <row r="179" ht="14.25" customHeight="1">
      <c r="A179" s="12"/>
      <c r="B179" s="12"/>
      <c r="C179" s="12"/>
    </row>
    <row r="180" ht="14.25" customHeight="1">
      <c r="A180" s="12"/>
      <c r="B180" s="12"/>
      <c r="C180" s="12"/>
    </row>
    <row r="181" ht="14.25" customHeight="1">
      <c r="A181" s="12"/>
      <c r="B181" s="12"/>
      <c r="C181" s="12"/>
    </row>
    <row r="182" ht="14.25" customHeight="1">
      <c r="A182" s="12"/>
      <c r="B182" s="12"/>
      <c r="C182" s="12"/>
    </row>
    <row r="183" ht="14.25" customHeight="1">
      <c r="A183" s="12"/>
      <c r="B183" s="12"/>
      <c r="C183" s="12"/>
    </row>
    <row r="184" ht="14.25" customHeight="1">
      <c r="A184" s="12"/>
      <c r="B184" s="12"/>
      <c r="C184" s="12"/>
    </row>
    <row r="185" ht="14.25" customHeight="1">
      <c r="A185" s="12"/>
      <c r="B185" s="12"/>
      <c r="C185" s="12"/>
    </row>
    <row r="186" ht="14.25" customHeight="1">
      <c r="A186" s="12"/>
      <c r="B186" s="12"/>
      <c r="C186" s="12"/>
    </row>
    <row r="187" ht="14.25" customHeight="1">
      <c r="A187" s="12"/>
      <c r="B187" s="12"/>
      <c r="C187" s="12"/>
    </row>
    <row r="188" ht="14.25" customHeight="1">
      <c r="A188" s="12"/>
      <c r="B188" s="12"/>
      <c r="C188" s="12"/>
    </row>
    <row r="189" ht="14.25" customHeight="1">
      <c r="A189" s="12"/>
      <c r="B189" s="12"/>
      <c r="C189" s="12"/>
    </row>
    <row r="190" ht="14.25" customHeight="1">
      <c r="A190" s="12"/>
      <c r="B190" s="12"/>
      <c r="C190" s="12"/>
    </row>
    <row r="191" ht="14.25" customHeight="1">
      <c r="A191" s="12"/>
      <c r="B191" s="12"/>
      <c r="C191" s="12"/>
    </row>
    <row r="192" ht="14.25" customHeight="1">
      <c r="A192" s="12"/>
      <c r="B192" s="12"/>
      <c r="C192" s="12"/>
    </row>
    <row r="193" ht="14.25" customHeight="1">
      <c r="A193" s="12"/>
      <c r="B193" s="12"/>
      <c r="C193" s="12"/>
    </row>
    <row r="194" ht="14.25" customHeight="1">
      <c r="A194" s="12"/>
      <c r="B194" s="12"/>
      <c r="C194" s="12"/>
    </row>
    <row r="195" ht="14.25" customHeight="1">
      <c r="A195" s="12"/>
      <c r="B195" s="12"/>
      <c r="C195" s="12"/>
    </row>
    <row r="196" ht="14.25" customHeight="1">
      <c r="A196" s="12"/>
      <c r="B196" s="12"/>
      <c r="C196" s="12"/>
    </row>
    <row r="197" ht="14.25" customHeight="1">
      <c r="A197" s="12"/>
      <c r="B197" s="12"/>
      <c r="C197" s="12"/>
    </row>
    <row r="198" ht="14.25" customHeight="1">
      <c r="A198" s="12"/>
      <c r="B198" s="12"/>
      <c r="C198" s="12"/>
    </row>
    <row r="199" ht="14.25" customHeight="1">
      <c r="A199" s="12"/>
      <c r="B199" s="12"/>
      <c r="C199" s="12"/>
    </row>
    <row r="200" ht="14.25" customHeight="1">
      <c r="A200" s="12"/>
      <c r="B200" s="12"/>
      <c r="C200" s="12"/>
    </row>
    <row r="201" ht="14.25" customHeight="1">
      <c r="A201" s="12"/>
      <c r="B201" s="12"/>
      <c r="C201" s="12"/>
    </row>
    <row r="202" ht="14.25" customHeight="1">
      <c r="A202" s="12"/>
      <c r="B202" s="12"/>
      <c r="C202" s="12"/>
    </row>
    <row r="203" ht="14.25" customHeight="1">
      <c r="A203" s="12"/>
      <c r="B203" s="12"/>
      <c r="C203" s="12"/>
    </row>
    <row r="204" ht="14.25" customHeight="1">
      <c r="A204" s="12"/>
      <c r="B204" s="12"/>
      <c r="C204" s="12"/>
    </row>
    <row r="205" ht="14.25" customHeight="1">
      <c r="A205" s="12"/>
      <c r="B205" s="12"/>
      <c r="C205" s="12"/>
    </row>
    <row r="206" ht="14.25" customHeight="1">
      <c r="A206" s="12"/>
      <c r="B206" s="12"/>
      <c r="C206" s="12"/>
    </row>
    <row r="207" ht="14.25" customHeight="1">
      <c r="A207" s="12"/>
      <c r="B207" s="12"/>
      <c r="C207" s="12"/>
    </row>
    <row r="208" ht="14.25" customHeight="1">
      <c r="A208" s="12"/>
      <c r="B208" s="12"/>
      <c r="C208" s="12"/>
    </row>
    <row r="209" ht="14.25" customHeight="1">
      <c r="A209" s="12"/>
      <c r="B209" s="12"/>
      <c r="C209" s="12"/>
    </row>
    <row r="210" ht="14.25" customHeight="1">
      <c r="A210" s="12"/>
      <c r="B210" s="12"/>
      <c r="C210" s="12"/>
    </row>
    <row r="211" ht="14.25" customHeight="1">
      <c r="A211" s="12"/>
      <c r="B211" s="12"/>
      <c r="C211" s="12"/>
    </row>
    <row r="212" ht="14.25" customHeight="1">
      <c r="A212" s="12"/>
      <c r="B212" s="12"/>
      <c r="C212" s="12"/>
    </row>
    <row r="213" ht="14.25" customHeight="1">
      <c r="A213" s="12"/>
      <c r="B213" s="12"/>
      <c r="C213" s="12"/>
    </row>
    <row r="214" ht="14.25" customHeight="1">
      <c r="A214" s="12"/>
      <c r="B214" s="12"/>
      <c r="C214" s="12"/>
    </row>
    <row r="215" ht="14.25" customHeight="1">
      <c r="A215" s="12"/>
      <c r="B215" s="12"/>
      <c r="C215" s="12"/>
    </row>
    <row r="216" ht="14.25" customHeight="1">
      <c r="A216" s="12"/>
      <c r="B216" s="12"/>
      <c r="C216" s="12"/>
    </row>
    <row r="217" ht="14.25" customHeight="1">
      <c r="A217" s="12"/>
      <c r="B217" s="12"/>
      <c r="C217" s="12"/>
    </row>
    <row r="218" ht="14.25" customHeight="1">
      <c r="A218" s="12"/>
      <c r="B218" s="12"/>
      <c r="C218" s="12"/>
    </row>
    <row r="219" ht="14.25" customHeight="1">
      <c r="A219" s="12"/>
      <c r="B219" s="12"/>
      <c r="C219" s="12"/>
    </row>
    <row r="220" ht="14.25" customHeight="1">
      <c r="A220" s="12"/>
      <c r="B220" s="12"/>
      <c r="C220" s="1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F1"/>
    <mergeCell ref="A2:F2"/>
    <mergeCell ref="A3:F3"/>
    <mergeCell ref="B4:F4"/>
    <mergeCell ref="C5:F5"/>
    <mergeCell ref="C6:F6"/>
    <mergeCell ref="C7:F7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8.57"/>
    <col customWidth="1" min="3" max="3" width="28.0"/>
    <col customWidth="1" min="4" max="4" width="23.43"/>
    <col customWidth="1" min="5" max="5" width="22.0"/>
    <col customWidth="1" min="6" max="8" width="14.29"/>
    <col customWidth="1" min="9" max="9" width="25.0"/>
    <col customWidth="1" min="10" max="10" width="20.71"/>
    <col customWidth="1" min="11" max="11" width="20.86"/>
    <col customWidth="1" min="12" max="12" width="21.71"/>
    <col customWidth="1" min="15" max="15" width="29.57"/>
    <col customWidth="1" min="16" max="16" width="26.71"/>
    <col customWidth="1" min="22" max="22" width="20.71"/>
    <col customWidth="1" min="23" max="23" width="20.29"/>
    <col customWidth="1" min="24" max="24" width="21.57"/>
    <col customWidth="1" min="25" max="25" width="20.86"/>
  </cols>
  <sheetData>
    <row r="1">
      <c r="A1" s="67" t="s">
        <v>863</v>
      </c>
      <c r="N1" s="67" t="s">
        <v>863</v>
      </c>
    </row>
    <row r="2">
      <c r="A2" s="68" t="s">
        <v>864</v>
      </c>
      <c r="B2" s="68" t="s">
        <v>865</v>
      </c>
      <c r="C2" s="68" t="s">
        <v>866</v>
      </c>
      <c r="D2" s="68" t="s">
        <v>867</v>
      </c>
      <c r="E2" s="68" t="s">
        <v>868</v>
      </c>
      <c r="F2" s="68" t="s">
        <v>869</v>
      </c>
      <c r="G2" s="68" t="s">
        <v>870</v>
      </c>
      <c r="H2" s="68" t="s">
        <v>871</v>
      </c>
      <c r="I2" s="68" t="s">
        <v>872</v>
      </c>
      <c r="J2" s="68" t="s">
        <v>873</v>
      </c>
      <c r="K2" s="68" t="s">
        <v>874</v>
      </c>
      <c r="L2" s="68" t="s">
        <v>875</v>
      </c>
      <c r="N2" s="68" t="s">
        <v>876</v>
      </c>
      <c r="O2" s="68" t="s">
        <v>865</v>
      </c>
      <c r="P2" s="68" t="s">
        <v>866</v>
      </c>
      <c r="Q2" s="68" t="s">
        <v>867</v>
      </c>
      <c r="R2" s="68" t="s">
        <v>868</v>
      </c>
      <c r="S2" s="68" t="s">
        <v>869</v>
      </c>
      <c r="T2" s="68" t="s">
        <v>870</v>
      </c>
      <c r="U2" s="68" t="s">
        <v>871</v>
      </c>
      <c r="V2" s="68" t="s">
        <v>872</v>
      </c>
      <c r="W2" s="68" t="s">
        <v>873</v>
      </c>
      <c r="X2" s="68" t="s">
        <v>874</v>
      </c>
      <c r="Y2" s="68" t="s">
        <v>875</v>
      </c>
    </row>
    <row r="3">
      <c r="A3" s="69">
        <v>1.0</v>
      </c>
      <c r="B3" s="70" t="s">
        <v>71</v>
      </c>
      <c r="C3" s="70" t="s">
        <v>71</v>
      </c>
      <c r="D3" s="71">
        <f t="shared" ref="D3:D51" si="1">LEN(B3)+LEN(C3)</f>
        <v>10</v>
      </c>
      <c r="E3" s="72">
        <v>0.0508</v>
      </c>
      <c r="F3" s="73">
        <v>1.0273</v>
      </c>
      <c r="G3" s="74">
        <v>3.3828</v>
      </c>
      <c r="H3" s="75">
        <v>4.3984</v>
      </c>
      <c r="I3" s="76">
        <v>0.0718</v>
      </c>
      <c r="J3" s="77">
        <v>1.1154</v>
      </c>
      <c r="K3" s="78">
        <v>0.6364</v>
      </c>
      <c r="L3" s="79">
        <v>0.6302</v>
      </c>
      <c r="N3" s="67">
        <v>1.0</v>
      </c>
      <c r="O3" s="70" t="s">
        <v>71</v>
      </c>
      <c r="P3" s="70" t="s">
        <v>71</v>
      </c>
      <c r="Q3" s="16">
        <f t="shared" ref="Q3:Q51" si="2">LEN(O3)+LEN(P3)</f>
        <v>10</v>
      </c>
      <c r="R3" s="41">
        <v>0.472656</v>
      </c>
      <c r="S3" s="41">
        <v>0.953125</v>
      </c>
      <c r="T3" s="41">
        <v>1.433594</v>
      </c>
      <c r="U3" s="41">
        <v>1.917969</v>
      </c>
      <c r="V3" s="41">
        <v>1.5361</v>
      </c>
      <c r="W3" s="41">
        <v>2.0904</v>
      </c>
      <c r="X3" s="41">
        <v>4.8415</v>
      </c>
      <c r="Y3" s="41">
        <v>7.9711</v>
      </c>
    </row>
    <row r="4">
      <c r="A4" s="69">
        <v>2.0</v>
      </c>
      <c r="B4" s="70" t="s">
        <v>71</v>
      </c>
      <c r="C4" s="70" t="s">
        <v>80</v>
      </c>
      <c r="D4" s="71">
        <f t="shared" si="1"/>
        <v>10</v>
      </c>
      <c r="E4" s="72">
        <v>0.0117</v>
      </c>
      <c r="F4" s="73">
        <v>1.0303</v>
      </c>
      <c r="G4" s="74">
        <v>1.0615</v>
      </c>
      <c r="H4" s="75">
        <v>1.334</v>
      </c>
      <c r="I4" s="76">
        <v>0.0586</v>
      </c>
      <c r="J4" s="77">
        <v>0.9432</v>
      </c>
      <c r="K4" s="78">
        <v>0.527</v>
      </c>
      <c r="L4" s="79">
        <v>0.6407</v>
      </c>
      <c r="N4" s="67">
        <v>2.0</v>
      </c>
      <c r="O4" s="70" t="s">
        <v>71</v>
      </c>
      <c r="P4" s="70" t="s">
        <v>80</v>
      </c>
      <c r="Q4" s="16">
        <f t="shared" si="2"/>
        <v>10</v>
      </c>
      <c r="R4" s="41">
        <v>0.004883</v>
      </c>
      <c r="S4" s="41">
        <v>0.010742</v>
      </c>
      <c r="T4" s="41">
        <v>0.030273</v>
      </c>
      <c r="U4" s="41">
        <v>0.049805</v>
      </c>
      <c r="V4" s="41">
        <v>0.7382</v>
      </c>
      <c r="W4" s="41">
        <v>0.9255</v>
      </c>
      <c r="X4" s="41">
        <v>1.6895</v>
      </c>
      <c r="Y4" s="41">
        <v>2.3119</v>
      </c>
    </row>
    <row r="5">
      <c r="A5" s="69">
        <v>3.0</v>
      </c>
      <c r="B5" s="70" t="s">
        <v>80</v>
      </c>
      <c r="C5" s="70" t="s">
        <v>71</v>
      </c>
      <c r="D5" s="71">
        <f t="shared" si="1"/>
        <v>10</v>
      </c>
      <c r="E5" s="72">
        <v>0.0371</v>
      </c>
      <c r="F5" s="73">
        <v>0.4854</v>
      </c>
      <c r="G5" s="74">
        <v>1.4805</v>
      </c>
      <c r="H5" s="75">
        <v>2.0576</v>
      </c>
      <c r="I5" s="76">
        <v>0.0552</v>
      </c>
      <c r="J5" s="77">
        <v>0.7711</v>
      </c>
      <c r="K5" s="78">
        <v>0.53</v>
      </c>
      <c r="L5" s="79">
        <v>0.6446</v>
      </c>
      <c r="N5" s="67">
        <v>3.0</v>
      </c>
      <c r="O5" s="70" t="s">
        <v>80</v>
      </c>
      <c r="P5" s="70" t="s">
        <v>71</v>
      </c>
      <c r="Q5" s="16">
        <f t="shared" si="2"/>
        <v>10</v>
      </c>
      <c r="R5" s="41">
        <v>0.004883</v>
      </c>
      <c r="S5" s="41">
        <v>0.011719</v>
      </c>
      <c r="T5" s="41">
        <v>0.023438</v>
      </c>
      <c r="U5" s="41">
        <v>0.035156</v>
      </c>
      <c r="V5" s="41">
        <v>0.6779</v>
      </c>
      <c r="W5" s="41">
        <v>1.0507</v>
      </c>
      <c r="X5" s="41">
        <v>1.6948</v>
      </c>
      <c r="Y5" s="41">
        <v>2.3142</v>
      </c>
    </row>
    <row r="6">
      <c r="A6" s="69">
        <v>4.0</v>
      </c>
      <c r="B6" s="70" t="s">
        <v>80</v>
      </c>
      <c r="C6" s="70" t="s">
        <v>80</v>
      </c>
      <c r="D6" s="71">
        <f t="shared" si="1"/>
        <v>10</v>
      </c>
      <c r="E6" s="72">
        <v>0.0254</v>
      </c>
      <c r="F6" s="73">
        <v>0.6709</v>
      </c>
      <c r="G6" s="74">
        <v>0.7637</v>
      </c>
      <c r="H6" s="75">
        <v>0.8594</v>
      </c>
      <c r="I6" s="76">
        <v>0.0551</v>
      </c>
      <c r="J6" s="77">
        <v>0.7876</v>
      </c>
      <c r="K6" s="78">
        <v>0.415</v>
      </c>
      <c r="L6" s="79">
        <v>0.6133</v>
      </c>
      <c r="N6" s="67">
        <v>4.0</v>
      </c>
      <c r="O6" s="70" t="s">
        <v>80</v>
      </c>
      <c r="P6" s="70" t="s">
        <v>80</v>
      </c>
      <c r="Q6" s="16">
        <f t="shared" si="2"/>
        <v>10</v>
      </c>
      <c r="R6" s="41">
        <v>0.011719</v>
      </c>
      <c r="S6" s="41">
        <v>0.023438</v>
      </c>
      <c r="T6" s="41">
        <v>0.042969</v>
      </c>
      <c r="U6" s="41">
        <v>0.070312</v>
      </c>
      <c r="V6" s="41">
        <v>0.3059</v>
      </c>
      <c r="W6" s="41">
        <v>0.356</v>
      </c>
      <c r="X6" s="41">
        <v>0.5671</v>
      </c>
      <c r="Y6" s="41">
        <v>0.7631</v>
      </c>
    </row>
    <row r="7">
      <c r="A7" s="69">
        <v>5.0</v>
      </c>
      <c r="B7" s="70" t="s">
        <v>62</v>
      </c>
      <c r="C7" s="70" t="s">
        <v>71</v>
      </c>
      <c r="D7" s="71">
        <f t="shared" si="1"/>
        <v>12</v>
      </c>
      <c r="E7" s="72">
        <v>0.0371</v>
      </c>
      <c r="F7" s="73">
        <v>0.623</v>
      </c>
      <c r="G7" s="74">
        <v>0.7832</v>
      </c>
      <c r="H7" s="75">
        <v>0.8086</v>
      </c>
      <c r="I7" s="76">
        <v>0.0976</v>
      </c>
      <c r="J7" s="77">
        <v>0.0073</v>
      </c>
      <c r="K7" s="78">
        <v>0.2704</v>
      </c>
      <c r="L7" s="79">
        <v>0.449</v>
      </c>
      <c r="N7" s="67">
        <v>5.0</v>
      </c>
      <c r="O7" s="70" t="s">
        <v>62</v>
      </c>
      <c r="P7" s="70" t="s">
        <v>71</v>
      </c>
      <c r="Q7" s="16">
        <f t="shared" si="2"/>
        <v>12</v>
      </c>
      <c r="R7" s="41">
        <v>0.005859</v>
      </c>
      <c r="S7" s="41">
        <v>0.025391</v>
      </c>
      <c r="T7" s="41">
        <v>0.052734</v>
      </c>
      <c r="U7" s="41">
        <v>0.158203</v>
      </c>
      <c r="V7" s="41">
        <v>0.2202</v>
      </c>
      <c r="W7" s="41">
        <v>0.2468</v>
      </c>
      <c r="X7" s="41">
        <v>0.2279</v>
      </c>
      <c r="Y7" s="41">
        <v>0.2534</v>
      </c>
    </row>
    <row r="8">
      <c r="A8" s="69">
        <v>6.0</v>
      </c>
      <c r="B8" s="70" t="s">
        <v>62</v>
      </c>
      <c r="C8" s="70" t="s">
        <v>80</v>
      </c>
      <c r="D8" s="71">
        <f t="shared" si="1"/>
        <v>12</v>
      </c>
      <c r="E8" s="72">
        <v>0.0254</v>
      </c>
      <c r="F8" s="73">
        <v>0.1113</v>
      </c>
      <c r="G8" s="74">
        <v>0.4346</v>
      </c>
      <c r="H8" s="75">
        <v>0.54</v>
      </c>
      <c r="I8" s="76">
        <v>0.096</v>
      </c>
      <c r="J8" s="77">
        <v>0.3657</v>
      </c>
      <c r="K8" s="78">
        <v>0.3611</v>
      </c>
      <c r="L8" s="79">
        <v>0.4338</v>
      </c>
      <c r="N8" s="67">
        <v>6.0</v>
      </c>
      <c r="O8" s="70" t="s">
        <v>62</v>
      </c>
      <c r="P8" s="70" t="s">
        <v>80</v>
      </c>
      <c r="Q8" s="16">
        <f t="shared" si="2"/>
        <v>12</v>
      </c>
      <c r="R8" s="41">
        <v>0.015625</v>
      </c>
      <c r="S8" s="41">
        <v>0.040039</v>
      </c>
      <c r="T8" s="41">
        <v>0.077148</v>
      </c>
      <c r="U8" s="41">
        <v>0.12793</v>
      </c>
      <c r="V8" s="41">
        <v>0.0399</v>
      </c>
      <c r="W8" s="41">
        <v>0.0527</v>
      </c>
      <c r="X8" s="41">
        <v>0.0414</v>
      </c>
      <c r="Y8" s="41">
        <v>0.0574</v>
      </c>
    </row>
    <row r="9">
      <c r="A9" s="69">
        <v>7.0</v>
      </c>
      <c r="B9" s="70" t="s">
        <v>71</v>
      </c>
      <c r="C9" s="70" t="s">
        <v>62</v>
      </c>
      <c r="D9" s="71">
        <f t="shared" si="1"/>
        <v>12</v>
      </c>
      <c r="E9" s="72">
        <v>0.0273</v>
      </c>
      <c r="F9" s="73">
        <v>0.04</v>
      </c>
      <c r="G9" s="74">
        <v>0.1211</v>
      </c>
      <c r="H9" s="75">
        <v>0.2646</v>
      </c>
      <c r="I9" s="76">
        <v>0.0914</v>
      </c>
      <c r="J9" s="77">
        <v>0.4699</v>
      </c>
      <c r="K9" s="78">
        <v>0.3309</v>
      </c>
      <c r="L9" s="79">
        <v>0.321</v>
      </c>
      <c r="N9" s="67">
        <v>7.0</v>
      </c>
      <c r="O9" s="70" t="s">
        <v>71</v>
      </c>
      <c r="P9" s="70" t="s">
        <v>62</v>
      </c>
      <c r="Q9" s="16">
        <f t="shared" si="2"/>
        <v>12</v>
      </c>
      <c r="R9" s="41">
        <v>0.003906</v>
      </c>
      <c r="S9" s="41">
        <v>0.015625</v>
      </c>
      <c r="T9" s="41">
        <v>0.035156</v>
      </c>
      <c r="U9" s="41">
        <v>0.05957</v>
      </c>
      <c r="V9" s="41">
        <v>0.051</v>
      </c>
      <c r="W9" s="41">
        <v>0.0395</v>
      </c>
      <c r="X9" s="41">
        <v>0.0723</v>
      </c>
      <c r="Y9" s="41">
        <v>0.1001</v>
      </c>
    </row>
    <row r="10">
      <c r="A10" s="69">
        <v>8.0</v>
      </c>
      <c r="B10" s="70" t="s">
        <v>80</v>
      </c>
      <c r="C10" s="70" t="s">
        <v>62</v>
      </c>
      <c r="D10" s="71">
        <f t="shared" si="1"/>
        <v>12</v>
      </c>
      <c r="E10" s="72">
        <v>0.1133</v>
      </c>
      <c r="F10" s="73">
        <v>2.8574</v>
      </c>
      <c r="G10" s="74">
        <v>2.4678</v>
      </c>
      <c r="H10" s="75">
        <v>3.9355</v>
      </c>
      <c r="I10" s="76">
        <v>0.0995</v>
      </c>
      <c r="J10" s="77">
        <v>0.8058</v>
      </c>
      <c r="K10" s="78">
        <v>0.5645</v>
      </c>
      <c r="L10" s="79">
        <v>0.5584</v>
      </c>
      <c r="N10" s="67">
        <v>8.0</v>
      </c>
      <c r="O10" s="70" t="s">
        <v>80</v>
      </c>
      <c r="P10" s="70" t="s">
        <v>62</v>
      </c>
      <c r="Q10" s="16">
        <f t="shared" si="2"/>
        <v>12</v>
      </c>
      <c r="R10" s="41">
        <v>0.472656</v>
      </c>
      <c r="S10" s="41">
        <v>0.953125</v>
      </c>
      <c r="T10" s="41">
        <v>1.433594</v>
      </c>
      <c r="U10" s="41">
        <v>1.917969</v>
      </c>
      <c r="V10" s="41">
        <v>1.5776</v>
      </c>
      <c r="W10" s="41">
        <v>2.202</v>
      </c>
      <c r="X10" s="41">
        <v>5.6584</v>
      </c>
      <c r="Y10" s="41">
        <v>7.7408</v>
      </c>
    </row>
    <row r="11">
      <c r="A11" s="69">
        <v>9.0</v>
      </c>
      <c r="B11" s="70" t="s">
        <v>53</v>
      </c>
      <c r="C11" s="70" t="s">
        <v>71</v>
      </c>
      <c r="D11" s="71">
        <f t="shared" si="1"/>
        <v>13</v>
      </c>
      <c r="E11" s="72">
        <v>0.0244</v>
      </c>
      <c r="F11" s="73">
        <v>0.5166</v>
      </c>
      <c r="G11" s="74">
        <v>0.583</v>
      </c>
      <c r="H11" s="75">
        <v>1.083</v>
      </c>
      <c r="I11" s="76">
        <v>0.1639</v>
      </c>
      <c r="J11" s="77">
        <v>0.7133</v>
      </c>
      <c r="K11" s="78">
        <v>0.4859</v>
      </c>
      <c r="L11" s="79">
        <v>0.554</v>
      </c>
      <c r="N11" s="67">
        <v>9.0</v>
      </c>
      <c r="O11" s="70" t="s">
        <v>53</v>
      </c>
      <c r="P11" s="70" t="s">
        <v>71</v>
      </c>
      <c r="Q11" s="16">
        <f t="shared" si="2"/>
        <v>13</v>
      </c>
      <c r="R11" s="41">
        <v>0.004883</v>
      </c>
      <c r="S11" s="41">
        <v>0.024414</v>
      </c>
      <c r="T11" s="41">
        <v>0.043945</v>
      </c>
      <c r="U11" s="41">
        <v>0.071289</v>
      </c>
      <c r="V11" s="41">
        <v>0.9293</v>
      </c>
      <c r="W11" s="41">
        <v>1.082</v>
      </c>
      <c r="X11" s="41">
        <v>1.8993</v>
      </c>
      <c r="Y11" s="41">
        <v>2.1902</v>
      </c>
    </row>
    <row r="12">
      <c r="A12" s="69">
        <v>10.0</v>
      </c>
      <c r="B12" s="70" t="s">
        <v>53</v>
      </c>
      <c r="C12" s="70" t="s">
        <v>80</v>
      </c>
      <c r="D12" s="71">
        <f t="shared" si="1"/>
        <v>13</v>
      </c>
      <c r="E12" s="72">
        <v>0.0117</v>
      </c>
      <c r="F12" s="73">
        <v>0.0391</v>
      </c>
      <c r="G12" s="74">
        <v>1.5986</v>
      </c>
      <c r="H12" s="75">
        <v>1.6484</v>
      </c>
      <c r="I12" s="76">
        <v>0.1464</v>
      </c>
      <c r="J12" s="77">
        <v>0.7383</v>
      </c>
      <c r="K12" s="78">
        <v>0.5174</v>
      </c>
      <c r="L12" s="79">
        <v>0.5825</v>
      </c>
      <c r="N12" s="67">
        <v>10.0</v>
      </c>
      <c r="O12" s="70" t="s">
        <v>53</v>
      </c>
      <c r="P12" s="70" t="s">
        <v>80</v>
      </c>
      <c r="Q12" s="16">
        <f t="shared" si="2"/>
        <v>13</v>
      </c>
      <c r="R12" s="41">
        <v>0.004883</v>
      </c>
      <c r="S12" s="41">
        <v>0.011719</v>
      </c>
      <c r="T12" s="41">
        <v>0.023438</v>
      </c>
      <c r="U12" s="41">
        <v>0.035156</v>
      </c>
      <c r="V12" s="41">
        <v>0.634</v>
      </c>
      <c r="W12" s="41">
        <v>0.8582</v>
      </c>
      <c r="X12" s="41">
        <v>1.4871</v>
      </c>
      <c r="Y12" s="41">
        <v>2.2531</v>
      </c>
    </row>
    <row r="13">
      <c r="A13" s="69">
        <v>11.0</v>
      </c>
      <c r="B13" s="70" t="s">
        <v>71</v>
      </c>
      <c r="C13" s="70" t="s">
        <v>53</v>
      </c>
      <c r="D13" s="71">
        <f t="shared" si="1"/>
        <v>13</v>
      </c>
      <c r="E13" s="72">
        <v>0.0273</v>
      </c>
      <c r="F13" s="73">
        <v>0.5107</v>
      </c>
      <c r="G13" s="74">
        <v>0.666</v>
      </c>
      <c r="H13" s="75">
        <v>0.7949</v>
      </c>
      <c r="I13" s="76">
        <v>0.1215</v>
      </c>
      <c r="J13" s="77">
        <v>0.5766</v>
      </c>
      <c r="K13" s="78">
        <v>0.4595</v>
      </c>
      <c r="L13" s="79">
        <v>0.5314</v>
      </c>
      <c r="N13" s="67">
        <v>11.0</v>
      </c>
      <c r="O13" s="70" t="s">
        <v>71</v>
      </c>
      <c r="P13" s="70" t="s">
        <v>53</v>
      </c>
      <c r="Q13" s="16">
        <f t="shared" si="2"/>
        <v>13</v>
      </c>
      <c r="R13" s="41">
        <v>0.011719</v>
      </c>
      <c r="S13" s="41">
        <v>0.023438</v>
      </c>
      <c r="T13" s="41">
        <v>0.042969</v>
      </c>
      <c r="U13" s="41">
        <v>0.070312</v>
      </c>
      <c r="V13" s="41">
        <v>0.3313</v>
      </c>
      <c r="W13" s="41">
        <v>0.3762</v>
      </c>
      <c r="X13" s="41">
        <v>0.5741</v>
      </c>
      <c r="Y13" s="41">
        <v>0.7777</v>
      </c>
    </row>
    <row r="14">
      <c r="A14" s="69">
        <v>12.0</v>
      </c>
      <c r="B14" s="70" t="s">
        <v>80</v>
      </c>
      <c r="C14" s="70" t="s">
        <v>53</v>
      </c>
      <c r="D14" s="71">
        <f t="shared" si="1"/>
        <v>13</v>
      </c>
      <c r="E14" s="72">
        <v>0.0117</v>
      </c>
      <c r="F14" s="73">
        <v>0.5352</v>
      </c>
      <c r="G14" s="74">
        <v>0.666</v>
      </c>
      <c r="H14" s="75">
        <v>0.6914</v>
      </c>
      <c r="I14" s="76">
        <v>0.1154</v>
      </c>
      <c r="J14" s="77">
        <v>0.6536</v>
      </c>
      <c r="K14" s="78">
        <v>0.4663</v>
      </c>
      <c r="L14" s="79">
        <v>0.4364</v>
      </c>
      <c r="N14" s="67">
        <v>12.0</v>
      </c>
      <c r="O14" s="70" t="s">
        <v>80</v>
      </c>
      <c r="P14" s="70" t="s">
        <v>53</v>
      </c>
      <c r="Q14" s="16">
        <f t="shared" si="2"/>
        <v>13</v>
      </c>
      <c r="R14" s="41">
        <v>0.019531</v>
      </c>
      <c r="S14" s="41">
        <v>0.046875</v>
      </c>
      <c r="T14" s="41">
        <v>0.152344</v>
      </c>
      <c r="U14" s="41">
        <v>0.261719</v>
      </c>
      <c r="V14" s="41">
        <v>0.2098</v>
      </c>
      <c r="W14" s="41">
        <v>0.2229</v>
      </c>
      <c r="X14" s="41">
        <v>0.2633</v>
      </c>
      <c r="Y14" s="41">
        <v>0.1985</v>
      </c>
    </row>
    <row r="15">
      <c r="A15" s="69">
        <v>13.0</v>
      </c>
      <c r="B15" s="70" t="s">
        <v>35</v>
      </c>
      <c r="C15" s="70" t="s">
        <v>71</v>
      </c>
      <c r="D15" s="71">
        <f t="shared" si="1"/>
        <v>14</v>
      </c>
      <c r="E15" s="72">
        <v>0.0244</v>
      </c>
      <c r="F15" s="73">
        <v>0.3438</v>
      </c>
      <c r="G15" s="74">
        <v>0.4092</v>
      </c>
      <c r="H15" s="75">
        <v>0.5029</v>
      </c>
      <c r="I15" s="76">
        <v>0.2385</v>
      </c>
      <c r="J15" s="77">
        <v>0.0337</v>
      </c>
      <c r="K15" s="78">
        <v>0.2809</v>
      </c>
      <c r="L15" s="79">
        <v>0.2332</v>
      </c>
      <c r="N15" s="67">
        <v>13.0</v>
      </c>
      <c r="O15" s="70" t="s">
        <v>35</v>
      </c>
      <c r="P15" s="70" t="s">
        <v>71</v>
      </c>
      <c r="Q15" s="16">
        <f t="shared" si="2"/>
        <v>14</v>
      </c>
      <c r="R15" s="41">
        <v>0.015625</v>
      </c>
      <c r="S15" s="41">
        <v>0.040039</v>
      </c>
      <c r="T15" s="41">
        <v>0.09082</v>
      </c>
      <c r="U15" s="41">
        <v>0.165039</v>
      </c>
      <c r="V15" s="41">
        <v>0.0333</v>
      </c>
      <c r="W15" s="41">
        <v>0.0285</v>
      </c>
      <c r="X15" s="41">
        <v>0.0316</v>
      </c>
      <c r="Y15" s="41">
        <v>0.059</v>
      </c>
    </row>
    <row r="16">
      <c r="A16" s="69">
        <v>14.0</v>
      </c>
      <c r="B16" s="70" t="s">
        <v>35</v>
      </c>
      <c r="C16" s="70" t="s">
        <v>80</v>
      </c>
      <c r="D16" s="71">
        <f t="shared" si="1"/>
        <v>14</v>
      </c>
      <c r="E16" s="72">
        <v>0.0117</v>
      </c>
      <c r="F16" s="73">
        <v>0.1875</v>
      </c>
      <c r="G16" s="74">
        <v>0.0967</v>
      </c>
      <c r="H16" s="75">
        <v>0.2529</v>
      </c>
      <c r="I16" s="76">
        <v>0.1999</v>
      </c>
      <c r="J16" s="77">
        <v>0.4083</v>
      </c>
      <c r="K16" s="78">
        <v>0.2941</v>
      </c>
      <c r="L16" s="79">
        <v>0.3306</v>
      </c>
      <c r="N16" s="67">
        <v>14.0</v>
      </c>
      <c r="O16" s="70" t="s">
        <v>35</v>
      </c>
      <c r="P16" s="70" t="s">
        <v>80</v>
      </c>
      <c r="Q16" s="16">
        <f t="shared" si="2"/>
        <v>14</v>
      </c>
      <c r="R16" s="41">
        <v>0.003906</v>
      </c>
      <c r="S16" s="41">
        <v>0.015625</v>
      </c>
      <c r="T16" s="41">
        <v>0.035156</v>
      </c>
      <c r="U16" s="41">
        <v>0.05957</v>
      </c>
      <c r="V16" s="41">
        <v>0.0351</v>
      </c>
      <c r="W16" s="41">
        <v>0.0285</v>
      </c>
      <c r="X16" s="41">
        <v>0.0527</v>
      </c>
      <c r="Y16" s="41">
        <v>0.0578</v>
      </c>
    </row>
    <row r="17">
      <c r="A17" s="69">
        <v>15.0</v>
      </c>
      <c r="B17" s="70" t="s">
        <v>44</v>
      </c>
      <c r="C17" s="70" t="s">
        <v>71</v>
      </c>
      <c r="D17" s="71">
        <f t="shared" si="1"/>
        <v>14</v>
      </c>
      <c r="E17" s="72">
        <v>0.0244</v>
      </c>
      <c r="F17" s="73">
        <v>2.7324</v>
      </c>
      <c r="G17" s="74">
        <v>3.332</v>
      </c>
      <c r="H17" s="75">
        <v>3.5596</v>
      </c>
      <c r="I17" s="76">
        <v>0.2039</v>
      </c>
      <c r="J17" s="77">
        <v>0.8769</v>
      </c>
      <c r="K17" s="78">
        <v>0.4964</v>
      </c>
      <c r="L17" s="79">
        <v>0.6713</v>
      </c>
      <c r="N17" s="67">
        <v>15.0</v>
      </c>
      <c r="O17" s="70" t="s">
        <v>44</v>
      </c>
      <c r="P17" s="70" t="s">
        <v>71</v>
      </c>
      <c r="Q17" s="16">
        <f t="shared" si="2"/>
        <v>14</v>
      </c>
      <c r="R17" s="41">
        <v>0.472656</v>
      </c>
      <c r="S17" s="41">
        <v>0.953125</v>
      </c>
      <c r="T17" s="41">
        <v>0.984375</v>
      </c>
      <c r="U17" s="41">
        <v>1.464844</v>
      </c>
      <c r="V17" s="41">
        <v>1.4658</v>
      </c>
      <c r="W17" s="41">
        <v>1.979</v>
      </c>
      <c r="X17" s="41">
        <v>4.6532</v>
      </c>
      <c r="Y17" s="41">
        <v>5.7658</v>
      </c>
    </row>
    <row r="18">
      <c r="A18" s="69">
        <v>16.0</v>
      </c>
      <c r="B18" s="70" t="s">
        <v>44</v>
      </c>
      <c r="C18" s="70" t="s">
        <v>80</v>
      </c>
      <c r="D18" s="71">
        <f t="shared" si="1"/>
        <v>14</v>
      </c>
      <c r="E18" s="72">
        <v>0.0117</v>
      </c>
      <c r="F18" s="73">
        <v>0.5166</v>
      </c>
      <c r="G18" s="74">
        <v>0.5693</v>
      </c>
      <c r="H18" s="75">
        <v>1.3145</v>
      </c>
      <c r="I18" s="76">
        <v>0.231</v>
      </c>
      <c r="J18" s="77">
        <v>0.6742</v>
      </c>
      <c r="K18" s="78">
        <v>0.489</v>
      </c>
      <c r="L18" s="79">
        <v>0.5491</v>
      </c>
      <c r="N18" s="67">
        <v>16.0</v>
      </c>
      <c r="O18" s="70" t="s">
        <v>44</v>
      </c>
      <c r="P18" s="70" t="s">
        <v>80</v>
      </c>
      <c r="Q18" s="16">
        <f t="shared" si="2"/>
        <v>14</v>
      </c>
      <c r="R18" s="41">
        <v>0.004883</v>
      </c>
      <c r="S18" s="41">
        <v>0.010742</v>
      </c>
      <c r="T18" s="41">
        <v>0.030273</v>
      </c>
      <c r="U18" s="41">
        <v>0.057617</v>
      </c>
      <c r="V18" s="41">
        <v>0.6163</v>
      </c>
      <c r="W18" s="41">
        <v>0.8057</v>
      </c>
      <c r="X18" s="41">
        <v>1.3203</v>
      </c>
      <c r="Y18" s="41">
        <v>2.0057</v>
      </c>
    </row>
    <row r="19">
      <c r="A19" s="69">
        <v>17.0</v>
      </c>
      <c r="B19" s="70" t="s">
        <v>62</v>
      </c>
      <c r="C19" s="70" t="s">
        <v>62</v>
      </c>
      <c r="D19" s="71">
        <f t="shared" si="1"/>
        <v>14</v>
      </c>
      <c r="E19" s="72">
        <v>0.1055</v>
      </c>
      <c r="F19" s="73">
        <v>0.7578</v>
      </c>
      <c r="G19" s="74">
        <v>1.5537</v>
      </c>
      <c r="H19" s="75">
        <v>1.5762</v>
      </c>
      <c r="I19" s="76">
        <v>0.1436</v>
      </c>
      <c r="J19" s="77">
        <v>0.6914</v>
      </c>
      <c r="K19" s="78">
        <v>0.3881</v>
      </c>
      <c r="L19" s="79">
        <v>0.568</v>
      </c>
      <c r="N19" s="67">
        <v>17.0</v>
      </c>
      <c r="O19" s="70" t="s">
        <v>62</v>
      </c>
      <c r="P19" s="70" t="s">
        <v>62</v>
      </c>
      <c r="Q19" s="16">
        <f t="shared" si="2"/>
        <v>14</v>
      </c>
      <c r="R19" s="41">
        <v>0.004883</v>
      </c>
      <c r="S19" s="41">
        <v>0.011719</v>
      </c>
      <c r="T19" s="41">
        <v>0.023438</v>
      </c>
      <c r="U19" s="41">
        <v>0.035156</v>
      </c>
      <c r="V19" s="41">
        <v>0.749</v>
      </c>
      <c r="W19" s="41">
        <v>0.8609</v>
      </c>
      <c r="X19" s="41">
        <v>1.3359</v>
      </c>
      <c r="Y19" s="41">
        <v>1.9081</v>
      </c>
    </row>
    <row r="20">
      <c r="A20" s="69">
        <v>18.0</v>
      </c>
      <c r="B20" s="70" t="s">
        <v>71</v>
      </c>
      <c r="C20" s="70" t="s">
        <v>35</v>
      </c>
      <c r="D20" s="71">
        <f t="shared" si="1"/>
        <v>14</v>
      </c>
      <c r="E20" s="72">
        <v>0.0195</v>
      </c>
      <c r="F20" s="73">
        <v>0.0508</v>
      </c>
      <c r="G20" s="74">
        <v>1.0967</v>
      </c>
      <c r="H20" s="75">
        <v>0.8008</v>
      </c>
      <c r="I20" s="76">
        <v>0.1519</v>
      </c>
      <c r="J20" s="77">
        <v>0.6837</v>
      </c>
      <c r="K20" s="78">
        <v>0.4635</v>
      </c>
      <c r="L20" s="79">
        <v>0.5404</v>
      </c>
      <c r="N20" s="67">
        <v>18.0</v>
      </c>
      <c r="O20" s="70" t="s">
        <v>71</v>
      </c>
      <c r="P20" s="70" t="s">
        <v>35</v>
      </c>
      <c r="Q20" s="16">
        <f t="shared" si="2"/>
        <v>14</v>
      </c>
      <c r="R20" s="41">
        <v>0.011719</v>
      </c>
      <c r="S20" s="41">
        <v>0.023438</v>
      </c>
      <c r="T20" s="41">
        <v>0.050781</v>
      </c>
      <c r="U20" s="41">
        <v>0.28125</v>
      </c>
      <c r="V20" s="41">
        <v>0.2823</v>
      </c>
      <c r="W20" s="41">
        <v>0.3267</v>
      </c>
      <c r="X20" s="41">
        <v>0.5041</v>
      </c>
      <c r="Y20" s="41">
        <v>0.5102</v>
      </c>
    </row>
    <row r="21">
      <c r="A21" s="69">
        <v>19.0</v>
      </c>
      <c r="B21" s="70" t="s">
        <v>71</v>
      </c>
      <c r="C21" s="70" t="s">
        <v>44</v>
      </c>
      <c r="D21" s="71">
        <f t="shared" si="1"/>
        <v>14</v>
      </c>
      <c r="E21" s="72">
        <v>0.0156</v>
      </c>
      <c r="F21" s="73">
        <v>0.5625</v>
      </c>
      <c r="G21" s="74">
        <v>0.5527</v>
      </c>
      <c r="H21" s="75">
        <v>0.6953</v>
      </c>
      <c r="I21" s="76">
        <v>0.159</v>
      </c>
      <c r="J21" s="77">
        <v>0.5322</v>
      </c>
      <c r="K21" s="78">
        <v>0.3953</v>
      </c>
      <c r="L21" s="79">
        <v>0.4414</v>
      </c>
      <c r="N21" s="67">
        <v>19.0</v>
      </c>
      <c r="O21" s="70" t="s">
        <v>71</v>
      </c>
      <c r="P21" s="70" t="s">
        <v>44</v>
      </c>
      <c r="Q21" s="16">
        <f t="shared" si="2"/>
        <v>14</v>
      </c>
      <c r="R21" s="41">
        <v>0.005859</v>
      </c>
      <c r="S21" s="41">
        <v>0.025391</v>
      </c>
      <c r="T21" s="41">
        <v>0.052734</v>
      </c>
      <c r="U21" s="41">
        <v>0.162109</v>
      </c>
      <c r="V21" s="41">
        <v>0.1342</v>
      </c>
      <c r="W21" s="41">
        <v>0.143</v>
      </c>
      <c r="X21" s="41">
        <v>0.1764</v>
      </c>
      <c r="Y21" s="41">
        <v>0.22</v>
      </c>
    </row>
    <row r="22">
      <c r="A22" s="69">
        <v>20.0</v>
      </c>
      <c r="B22" s="70" t="s">
        <v>80</v>
      </c>
      <c r="C22" s="70" t="s">
        <v>35</v>
      </c>
      <c r="D22" s="71">
        <f t="shared" si="1"/>
        <v>14</v>
      </c>
      <c r="E22" s="72">
        <v>0.5</v>
      </c>
      <c r="F22" s="73">
        <v>0.1113</v>
      </c>
      <c r="G22" s="74">
        <v>0.4121</v>
      </c>
      <c r="H22" s="75">
        <v>0.4316</v>
      </c>
      <c r="I22" s="76">
        <v>0.1982</v>
      </c>
      <c r="J22" s="77">
        <v>0.2566</v>
      </c>
      <c r="K22" s="78">
        <v>0.2575</v>
      </c>
      <c r="L22" s="79">
        <v>0.2855</v>
      </c>
      <c r="N22" s="67">
        <v>20.0</v>
      </c>
      <c r="O22" s="70" t="s">
        <v>80</v>
      </c>
      <c r="P22" s="70" t="s">
        <v>35</v>
      </c>
      <c r="Q22" s="16">
        <f t="shared" si="2"/>
        <v>14</v>
      </c>
      <c r="R22" s="41">
        <v>0.015625</v>
      </c>
      <c r="S22" s="41">
        <v>0.040039</v>
      </c>
      <c r="T22" s="41">
        <v>0.077148</v>
      </c>
      <c r="U22" s="41">
        <v>0.151367</v>
      </c>
      <c r="V22" s="41">
        <v>0.0338</v>
      </c>
      <c r="W22" s="41">
        <v>0.0531</v>
      </c>
      <c r="X22" s="41">
        <v>0.0316</v>
      </c>
      <c r="Y22" s="41">
        <v>0.0461</v>
      </c>
    </row>
    <row r="23">
      <c r="A23" s="69">
        <v>21.0</v>
      </c>
      <c r="B23" s="70" t="s">
        <v>80</v>
      </c>
      <c r="C23" s="70" t="s">
        <v>44</v>
      </c>
      <c r="D23" s="71">
        <f t="shared" si="1"/>
        <v>14</v>
      </c>
      <c r="E23" s="72">
        <v>0.0117</v>
      </c>
      <c r="F23" s="73">
        <v>0.0156</v>
      </c>
      <c r="G23" s="74">
        <v>0.1943</v>
      </c>
      <c r="H23" s="75">
        <v>0.3555</v>
      </c>
      <c r="I23" s="76">
        <v>0.1605</v>
      </c>
      <c r="J23" s="77">
        <v>0.3393</v>
      </c>
      <c r="K23" s="78">
        <v>0.3009</v>
      </c>
      <c r="L23" s="79">
        <v>0.2629</v>
      </c>
      <c r="N23" s="67">
        <v>21.0</v>
      </c>
      <c r="O23" s="70" t="s">
        <v>80</v>
      </c>
      <c r="P23" s="70" t="s">
        <v>44</v>
      </c>
      <c r="Q23" s="16">
        <f t="shared" si="2"/>
        <v>14</v>
      </c>
      <c r="R23" s="41">
        <v>0.003906</v>
      </c>
      <c r="S23" s="41">
        <v>0.015625</v>
      </c>
      <c r="T23" s="41">
        <v>0.040039</v>
      </c>
      <c r="U23" s="41">
        <v>0.06543</v>
      </c>
      <c r="V23" s="41">
        <v>0.0337</v>
      </c>
      <c r="W23" s="41">
        <v>0.0355</v>
      </c>
      <c r="X23" s="41">
        <v>0.0365</v>
      </c>
      <c r="Y23" s="41">
        <v>0.037</v>
      </c>
    </row>
    <row r="24">
      <c r="A24" s="69">
        <v>22.0</v>
      </c>
      <c r="B24" s="70" t="s">
        <v>11</v>
      </c>
      <c r="C24" s="70" t="s">
        <v>71</v>
      </c>
      <c r="D24" s="71">
        <f t="shared" si="1"/>
        <v>15</v>
      </c>
      <c r="E24" s="72">
        <v>0.0244</v>
      </c>
      <c r="F24" s="73">
        <v>1.0186</v>
      </c>
      <c r="G24" s="74">
        <v>1.5146</v>
      </c>
      <c r="H24" s="75">
        <v>3.2578</v>
      </c>
      <c r="I24" s="76">
        <v>0.2577</v>
      </c>
      <c r="J24" s="77">
        <v>0.8096</v>
      </c>
      <c r="K24" s="78">
        <v>0.4785</v>
      </c>
      <c r="L24" s="79">
        <v>0.4385</v>
      </c>
      <c r="N24" s="67">
        <v>22.0</v>
      </c>
      <c r="O24" s="70" t="s">
        <v>11</v>
      </c>
      <c r="P24" s="70" t="s">
        <v>71</v>
      </c>
      <c r="Q24" s="16">
        <f t="shared" si="2"/>
        <v>15</v>
      </c>
      <c r="R24" s="41">
        <v>0.472656</v>
      </c>
      <c r="S24" s="41">
        <v>0.953125</v>
      </c>
      <c r="T24" s="41">
        <v>0.984375</v>
      </c>
      <c r="U24" s="41">
        <v>1.464844</v>
      </c>
      <c r="V24" s="41">
        <v>1.1967</v>
      </c>
      <c r="W24" s="41">
        <v>1.9723</v>
      </c>
      <c r="X24" s="41">
        <v>3.7667</v>
      </c>
      <c r="Y24" s="41">
        <v>13.9124</v>
      </c>
    </row>
    <row r="25">
      <c r="A25" s="69">
        <v>23.0</v>
      </c>
      <c r="B25" s="70" t="s">
        <v>11</v>
      </c>
      <c r="C25" s="70" t="s">
        <v>80</v>
      </c>
      <c r="D25" s="71">
        <f t="shared" si="1"/>
        <v>15</v>
      </c>
      <c r="E25" s="72">
        <v>0.0117</v>
      </c>
      <c r="F25" s="73">
        <v>0.5166</v>
      </c>
      <c r="G25" s="74">
        <v>1.0586</v>
      </c>
      <c r="H25" s="75">
        <v>1.5635</v>
      </c>
      <c r="I25" s="76">
        <v>0.2377</v>
      </c>
      <c r="J25" s="77">
        <v>0.5776</v>
      </c>
      <c r="K25" s="78">
        <v>0.4142</v>
      </c>
      <c r="L25" s="79">
        <v>0.4678</v>
      </c>
      <c r="N25" s="67">
        <v>23.0</v>
      </c>
      <c r="O25" s="70" t="s">
        <v>11</v>
      </c>
      <c r="P25" s="70" t="s">
        <v>80</v>
      </c>
      <c r="Q25" s="16">
        <f t="shared" si="2"/>
        <v>15</v>
      </c>
      <c r="R25" s="41">
        <v>0.004883</v>
      </c>
      <c r="S25" s="41">
        <v>0.024414</v>
      </c>
      <c r="T25" s="41">
        <v>0.051758</v>
      </c>
      <c r="U25" s="41">
        <v>0.558594</v>
      </c>
      <c r="V25" s="41">
        <v>2.2087</v>
      </c>
      <c r="W25" s="41">
        <v>2.6288</v>
      </c>
      <c r="X25" s="41">
        <v>4.293</v>
      </c>
      <c r="Y25" s="41">
        <v>6.4775</v>
      </c>
    </row>
    <row r="26">
      <c r="A26" s="69">
        <v>24.0</v>
      </c>
      <c r="B26" s="70" t="s">
        <v>53</v>
      </c>
      <c r="C26" s="70" t="s">
        <v>62</v>
      </c>
      <c r="D26" s="71">
        <f t="shared" si="1"/>
        <v>15</v>
      </c>
      <c r="E26" s="72">
        <v>0.0273</v>
      </c>
      <c r="F26" s="73">
        <v>0.2617</v>
      </c>
      <c r="G26" s="74">
        <v>0.4844</v>
      </c>
      <c r="H26" s="75">
        <v>0.6523</v>
      </c>
      <c r="I26" s="76">
        <v>0.2329</v>
      </c>
      <c r="J26" s="77">
        <v>0.5941</v>
      </c>
      <c r="K26" s="78">
        <v>0.3265</v>
      </c>
      <c r="L26" s="79">
        <v>0.4058</v>
      </c>
      <c r="N26" s="67">
        <v>24.0</v>
      </c>
      <c r="O26" s="70" t="s">
        <v>53</v>
      </c>
      <c r="P26" s="70" t="s">
        <v>62</v>
      </c>
      <c r="Q26" s="16">
        <f t="shared" si="2"/>
        <v>15</v>
      </c>
      <c r="R26" s="41">
        <v>0.004883</v>
      </c>
      <c r="S26" s="41">
        <v>0.011719</v>
      </c>
      <c r="T26" s="41">
        <v>0.023438</v>
      </c>
      <c r="U26" s="41">
        <v>0.035156</v>
      </c>
      <c r="V26" s="41">
        <v>1.9686</v>
      </c>
      <c r="W26" s="41">
        <v>2.726</v>
      </c>
      <c r="X26" s="41">
        <v>4.2989</v>
      </c>
      <c r="Y26" s="41">
        <v>6.2817</v>
      </c>
    </row>
    <row r="27">
      <c r="A27" s="69">
        <v>25.0</v>
      </c>
      <c r="B27" s="70" t="s">
        <v>62</v>
      </c>
      <c r="C27" s="70" t="s">
        <v>53</v>
      </c>
      <c r="D27" s="71">
        <f t="shared" si="1"/>
        <v>15</v>
      </c>
      <c r="E27" s="72">
        <v>0.0117</v>
      </c>
      <c r="F27" s="73">
        <v>0.0234</v>
      </c>
      <c r="G27" s="74">
        <v>0.3594</v>
      </c>
      <c r="H27" s="75">
        <v>0.8604</v>
      </c>
      <c r="I27" s="76">
        <v>0.1993</v>
      </c>
      <c r="J27" s="77">
        <v>0.5823</v>
      </c>
      <c r="K27" s="78">
        <v>0.3629</v>
      </c>
      <c r="L27" s="79">
        <v>0.4366</v>
      </c>
      <c r="N27" s="67">
        <v>25.0</v>
      </c>
      <c r="O27" s="70" t="s">
        <v>62</v>
      </c>
      <c r="P27" s="70" t="s">
        <v>53</v>
      </c>
      <c r="Q27" s="16">
        <f t="shared" si="2"/>
        <v>15</v>
      </c>
      <c r="R27" s="41">
        <v>0.011719</v>
      </c>
      <c r="S27" s="41">
        <v>0.023438</v>
      </c>
      <c r="T27" s="41">
        <v>0.050781</v>
      </c>
      <c r="U27" s="41">
        <v>0.28125</v>
      </c>
      <c r="V27" s="41">
        <v>0.9124</v>
      </c>
      <c r="W27" s="41">
        <v>1.0904</v>
      </c>
      <c r="X27" s="41">
        <v>1.5116</v>
      </c>
      <c r="Y27" s="41">
        <v>1.8664</v>
      </c>
    </row>
    <row r="28">
      <c r="A28" s="69">
        <v>26.0</v>
      </c>
      <c r="B28" s="70" t="s">
        <v>71</v>
      </c>
      <c r="C28" s="70" t="s">
        <v>11</v>
      </c>
      <c r="D28" s="71">
        <f t="shared" si="1"/>
        <v>15</v>
      </c>
      <c r="E28" s="72">
        <v>0.4805</v>
      </c>
      <c r="F28" s="73">
        <v>0.5625</v>
      </c>
      <c r="G28" s="74">
        <v>0.6289</v>
      </c>
      <c r="H28" s="75">
        <v>0.6953</v>
      </c>
      <c r="I28" s="76">
        <v>0.202</v>
      </c>
      <c r="J28" s="77">
        <v>0.3868</v>
      </c>
      <c r="K28" s="78">
        <v>0.2981</v>
      </c>
      <c r="L28" s="79">
        <v>0.3467</v>
      </c>
      <c r="N28" s="67">
        <v>26.0</v>
      </c>
      <c r="O28" s="70" t="s">
        <v>71</v>
      </c>
      <c r="P28" s="70" t="s">
        <v>11</v>
      </c>
      <c r="Q28" s="16">
        <f t="shared" si="2"/>
        <v>15</v>
      </c>
      <c r="R28" s="41">
        <v>0.019531</v>
      </c>
      <c r="S28" s="41">
        <v>0.046875</v>
      </c>
      <c r="T28" s="41">
        <v>0.15625</v>
      </c>
      <c r="U28" s="41">
        <v>0.269531</v>
      </c>
      <c r="V28" s="41">
        <v>0.5049</v>
      </c>
      <c r="W28" s="41">
        <v>0.5195</v>
      </c>
      <c r="X28" s="41">
        <v>0.7135</v>
      </c>
      <c r="Y28" s="41">
        <v>0.6802</v>
      </c>
    </row>
    <row r="29">
      <c r="A29" s="69">
        <v>27.0</v>
      </c>
      <c r="B29" s="70" t="s">
        <v>80</v>
      </c>
      <c r="C29" s="70" t="s">
        <v>11</v>
      </c>
      <c r="D29" s="71">
        <f t="shared" si="1"/>
        <v>15</v>
      </c>
      <c r="E29" s="72">
        <v>0.5</v>
      </c>
      <c r="F29" s="73">
        <v>0.3281</v>
      </c>
      <c r="G29" s="74">
        <v>0.1143</v>
      </c>
      <c r="H29" s="75">
        <v>0.3447</v>
      </c>
      <c r="I29" s="76">
        <v>0.2043</v>
      </c>
      <c r="J29" s="77">
        <v>0.2551</v>
      </c>
      <c r="K29" s="78">
        <v>0.244</v>
      </c>
      <c r="L29" s="79">
        <v>0.2026</v>
      </c>
      <c r="N29" s="67">
        <v>27.0</v>
      </c>
      <c r="O29" s="70" t="s">
        <v>80</v>
      </c>
      <c r="P29" s="70" t="s">
        <v>11</v>
      </c>
      <c r="Q29" s="16">
        <f t="shared" si="2"/>
        <v>15</v>
      </c>
      <c r="R29" s="41">
        <v>0.015625</v>
      </c>
      <c r="S29" s="41">
        <v>0.040039</v>
      </c>
      <c r="T29" s="41">
        <v>0.114258</v>
      </c>
      <c r="U29" s="41">
        <v>0.188477</v>
      </c>
      <c r="V29" s="41">
        <v>0.1467</v>
      </c>
      <c r="W29" s="41">
        <v>0.1655</v>
      </c>
      <c r="X29" s="41">
        <v>0.1498</v>
      </c>
      <c r="Y29" s="41">
        <v>0.3005</v>
      </c>
    </row>
    <row r="30">
      <c r="A30" s="69">
        <v>28.0</v>
      </c>
      <c r="B30" s="70" t="s">
        <v>35</v>
      </c>
      <c r="C30" s="70" t="s">
        <v>62</v>
      </c>
      <c r="D30" s="71">
        <f t="shared" si="1"/>
        <v>16</v>
      </c>
      <c r="E30" s="72">
        <v>0.0273</v>
      </c>
      <c r="F30" s="73">
        <v>0.0469</v>
      </c>
      <c r="G30" s="74">
        <v>0.1768</v>
      </c>
      <c r="H30" s="75">
        <v>0.3145</v>
      </c>
      <c r="I30" s="76">
        <v>0.3018</v>
      </c>
      <c r="J30" s="77">
        <v>0.3482</v>
      </c>
      <c r="K30" s="78">
        <v>0.2811</v>
      </c>
      <c r="L30" s="79">
        <v>0.225</v>
      </c>
      <c r="N30" s="67">
        <v>28.0</v>
      </c>
      <c r="O30" s="70" t="s">
        <v>35</v>
      </c>
      <c r="P30" s="70" t="s">
        <v>62</v>
      </c>
      <c r="Q30" s="16">
        <f t="shared" si="2"/>
        <v>16</v>
      </c>
      <c r="R30" s="41">
        <v>0.003906</v>
      </c>
      <c r="S30" s="41">
        <v>0.015625</v>
      </c>
      <c r="T30" s="41">
        <v>0.040039</v>
      </c>
      <c r="U30" s="41">
        <v>0.066406</v>
      </c>
      <c r="V30" s="41">
        <v>0.1395</v>
      </c>
      <c r="W30" s="41">
        <v>0.1181</v>
      </c>
      <c r="X30" s="41">
        <v>0.125</v>
      </c>
      <c r="Y30" s="41">
        <v>0.1255</v>
      </c>
    </row>
    <row r="31">
      <c r="A31" s="69">
        <v>29.0</v>
      </c>
      <c r="B31" s="70" t="s">
        <v>44</v>
      </c>
      <c r="C31" s="70" t="s">
        <v>62</v>
      </c>
      <c r="D31" s="71">
        <f t="shared" si="1"/>
        <v>16</v>
      </c>
      <c r="E31" s="72">
        <v>0.0195</v>
      </c>
      <c r="F31" s="73">
        <v>2.2246</v>
      </c>
      <c r="G31" s="74">
        <v>2.5977</v>
      </c>
      <c r="H31" s="75">
        <v>2.8652</v>
      </c>
      <c r="I31" s="76">
        <v>0.2991</v>
      </c>
      <c r="J31" s="77">
        <v>0.5867</v>
      </c>
      <c r="K31" s="78">
        <v>0.4049</v>
      </c>
      <c r="L31" s="79">
        <v>0.4664</v>
      </c>
      <c r="N31" s="67">
        <v>29.0</v>
      </c>
      <c r="O31" s="70" t="s">
        <v>44</v>
      </c>
      <c r="P31" s="70" t="s">
        <v>62</v>
      </c>
      <c r="Q31" s="16">
        <f t="shared" si="2"/>
        <v>16</v>
      </c>
      <c r="R31" s="41">
        <v>0.480469</v>
      </c>
      <c r="S31" s="41">
        <v>0.964844</v>
      </c>
      <c r="T31" s="41">
        <v>0.992188</v>
      </c>
      <c r="U31" s="41">
        <v>2.003906</v>
      </c>
      <c r="V31" s="41">
        <v>4.2864</v>
      </c>
      <c r="W31" s="41">
        <v>5.7703</v>
      </c>
      <c r="X31" s="41">
        <v>12.1024</v>
      </c>
      <c r="Y31" s="41">
        <v>14.6625</v>
      </c>
    </row>
    <row r="32">
      <c r="A32" s="69">
        <v>30.0</v>
      </c>
      <c r="B32" s="70" t="s">
        <v>53</v>
      </c>
      <c r="C32" s="70" t="s">
        <v>53</v>
      </c>
      <c r="D32" s="71">
        <f t="shared" si="1"/>
        <v>16</v>
      </c>
      <c r="E32" s="72">
        <v>0.0117</v>
      </c>
      <c r="F32" s="73">
        <v>0.7559</v>
      </c>
      <c r="G32" s="74">
        <v>1.6064</v>
      </c>
      <c r="H32" s="75">
        <v>0.7871</v>
      </c>
      <c r="I32" s="76">
        <v>0.2958</v>
      </c>
      <c r="J32" s="77">
        <v>0.5321</v>
      </c>
      <c r="K32" s="78">
        <v>0.3507</v>
      </c>
      <c r="L32" s="79">
        <v>0.3867</v>
      </c>
      <c r="N32" s="67">
        <v>30.0</v>
      </c>
      <c r="O32" s="70" t="s">
        <v>53</v>
      </c>
      <c r="P32" s="70" t="s">
        <v>53</v>
      </c>
      <c r="Q32" s="16">
        <f t="shared" si="2"/>
        <v>16</v>
      </c>
      <c r="R32" s="41">
        <v>0.004883</v>
      </c>
      <c r="S32" s="41">
        <v>0.010742</v>
      </c>
      <c r="T32" s="41">
        <v>0.030273</v>
      </c>
      <c r="U32" s="41">
        <v>0.530273</v>
      </c>
      <c r="V32" s="41">
        <v>1.6023</v>
      </c>
      <c r="W32" s="41">
        <v>2.317</v>
      </c>
      <c r="X32" s="41">
        <v>4.0911</v>
      </c>
      <c r="Y32" s="41">
        <v>5.7211</v>
      </c>
    </row>
    <row r="33">
      <c r="A33" s="69">
        <v>31.0</v>
      </c>
      <c r="B33" s="70" t="s">
        <v>62</v>
      </c>
      <c r="C33" s="70" t="s">
        <v>35</v>
      </c>
      <c r="D33" s="71">
        <f t="shared" si="1"/>
        <v>16</v>
      </c>
      <c r="E33" s="72">
        <v>0.0059</v>
      </c>
      <c r="F33" s="73">
        <v>0.5049</v>
      </c>
      <c r="G33" s="74">
        <v>0.5205</v>
      </c>
      <c r="H33" s="75">
        <v>0.7773</v>
      </c>
      <c r="I33" s="76">
        <v>0.2406</v>
      </c>
      <c r="J33" s="77">
        <v>0.4731</v>
      </c>
      <c r="K33" s="78">
        <v>0.3431</v>
      </c>
      <c r="L33" s="79">
        <v>0.3961</v>
      </c>
      <c r="N33" s="67">
        <v>31.0</v>
      </c>
      <c r="O33" s="70" t="s">
        <v>62</v>
      </c>
      <c r="P33" s="70" t="s">
        <v>35</v>
      </c>
      <c r="Q33" s="16">
        <f t="shared" si="2"/>
        <v>16</v>
      </c>
      <c r="R33" s="41">
        <v>0.004883</v>
      </c>
      <c r="S33" s="41">
        <v>0.016602</v>
      </c>
      <c r="T33" s="41">
        <v>0.02832</v>
      </c>
      <c r="U33" s="41">
        <v>0.043945</v>
      </c>
      <c r="V33" s="41">
        <v>1.7952</v>
      </c>
      <c r="W33" s="41">
        <v>2.2829</v>
      </c>
      <c r="X33" s="41">
        <v>3.9839</v>
      </c>
      <c r="Y33" s="41">
        <v>5.6817</v>
      </c>
    </row>
    <row r="34">
      <c r="A34" s="69">
        <v>32.0</v>
      </c>
      <c r="B34" s="70" t="s">
        <v>62</v>
      </c>
      <c r="C34" s="70" t="s">
        <v>44</v>
      </c>
      <c r="D34" s="71">
        <f t="shared" si="1"/>
        <v>16</v>
      </c>
      <c r="E34" s="72">
        <v>0.0117</v>
      </c>
      <c r="F34" s="73">
        <v>0.3867</v>
      </c>
      <c r="G34" s="74">
        <v>0.5137</v>
      </c>
      <c r="H34" s="75">
        <v>0.6055</v>
      </c>
      <c r="I34" s="76">
        <v>0.2875</v>
      </c>
      <c r="J34" s="77">
        <v>0.4395</v>
      </c>
      <c r="K34" s="78">
        <v>0.2296</v>
      </c>
      <c r="L34" s="79">
        <v>0.3463</v>
      </c>
      <c r="N34" s="67">
        <v>32.0</v>
      </c>
      <c r="O34" s="70" t="s">
        <v>62</v>
      </c>
      <c r="P34" s="70" t="s">
        <v>44</v>
      </c>
      <c r="Q34" s="16">
        <f t="shared" si="2"/>
        <v>16</v>
      </c>
      <c r="R34" s="41">
        <v>0.011719</v>
      </c>
      <c r="S34" s="41">
        <v>0.023438</v>
      </c>
      <c r="T34" s="41">
        <v>0.042969</v>
      </c>
      <c r="U34" s="41">
        <v>0.287109</v>
      </c>
      <c r="V34" s="41">
        <v>0.8122</v>
      </c>
      <c r="W34" s="41">
        <v>1.0165</v>
      </c>
      <c r="X34" s="41">
        <v>1.3881</v>
      </c>
      <c r="Y34" s="41">
        <v>1.7863</v>
      </c>
    </row>
    <row r="35">
      <c r="A35" s="69">
        <v>33.0</v>
      </c>
      <c r="B35" s="70" t="s">
        <v>11</v>
      </c>
      <c r="C35" s="70" t="s">
        <v>62</v>
      </c>
      <c r="D35" s="71">
        <f t="shared" si="1"/>
        <v>17</v>
      </c>
      <c r="E35" s="72">
        <v>0.0068</v>
      </c>
      <c r="F35" s="73">
        <v>0.5078</v>
      </c>
      <c r="G35" s="74">
        <v>0.541</v>
      </c>
      <c r="H35" s="75">
        <v>0.6084</v>
      </c>
      <c r="I35" s="76">
        <v>0.4252</v>
      </c>
      <c r="J35" s="77">
        <v>0.3143</v>
      </c>
      <c r="K35" s="78">
        <v>0.2228</v>
      </c>
      <c r="L35" s="79">
        <v>0.1957</v>
      </c>
      <c r="N35" s="67">
        <v>33.0</v>
      </c>
      <c r="O35" s="70" t="s">
        <v>11</v>
      </c>
      <c r="P35" s="70" t="s">
        <v>62</v>
      </c>
      <c r="Q35" s="16">
        <f t="shared" si="2"/>
        <v>17</v>
      </c>
      <c r="R35" s="41">
        <v>0.005859</v>
      </c>
      <c r="S35" s="41">
        <v>0.111328</v>
      </c>
      <c r="T35" s="41">
        <v>0.220703</v>
      </c>
      <c r="U35" s="41">
        <v>0.333984</v>
      </c>
      <c r="V35" s="41">
        <v>0.4556</v>
      </c>
      <c r="W35" s="41">
        <v>0.4245</v>
      </c>
      <c r="X35" s="41">
        <v>0.4815</v>
      </c>
      <c r="Y35" s="41">
        <v>0.6904</v>
      </c>
    </row>
    <row r="36">
      <c r="A36" s="69">
        <v>34.0</v>
      </c>
      <c r="B36" s="70" t="s">
        <v>35</v>
      </c>
      <c r="C36" s="70" t="s">
        <v>53</v>
      </c>
      <c r="D36" s="71">
        <f t="shared" si="1"/>
        <v>17</v>
      </c>
      <c r="E36" s="72">
        <v>0.0117</v>
      </c>
      <c r="F36" s="73">
        <v>0.0527</v>
      </c>
      <c r="G36" s="74">
        <v>0.1953</v>
      </c>
      <c r="H36" s="75">
        <v>0.3379</v>
      </c>
      <c r="I36" s="76">
        <v>0.366</v>
      </c>
      <c r="J36" s="77">
        <v>0.2052</v>
      </c>
      <c r="K36" s="78">
        <v>0.166</v>
      </c>
      <c r="L36" s="79">
        <v>0.158</v>
      </c>
      <c r="N36" s="67">
        <v>34.0</v>
      </c>
      <c r="O36" s="70" t="s">
        <v>35</v>
      </c>
      <c r="P36" s="70" t="s">
        <v>53</v>
      </c>
      <c r="Q36" s="16">
        <f t="shared" si="2"/>
        <v>17</v>
      </c>
      <c r="R36" s="41">
        <v>0.015625</v>
      </c>
      <c r="S36" s="41">
        <v>0.052734</v>
      </c>
      <c r="T36" s="41">
        <v>0.103516</v>
      </c>
      <c r="U36" s="41">
        <v>0.177734</v>
      </c>
      <c r="V36" s="41">
        <v>0.0891</v>
      </c>
      <c r="W36" s="41">
        <v>0.098</v>
      </c>
      <c r="X36" s="41">
        <v>0.1031</v>
      </c>
      <c r="Y36" s="41">
        <v>0.1138</v>
      </c>
    </row>
    <row r="37">
      <c r="A37" s="69">
        <v>35.0</v>
      </c>
      <c r="B37" s="70" t="s">
        <v>44</v>
      </c>
      <c r="C37" s="70" t="s">
        <v>53</v>
      </c>
      <c r="D37" s="71">
        <f t="shared" si="1"/>
        <v>17</v>
      </c>
      <c r="E37" s="72">
        <v>0.0117</v>
      </c>
      <c r="F37" s="73">
        <v>0.0869</v>
      </c>
      <c r="G37" s="74">
        <v>0.3223</v>
      </c>
      <c r="H37" s="75">
        <v>0.334</v>
      </c>
      <c r="I37" s="76">
        <v>0.3808</v>
      </c>
      <c r="J37" s="77">
        <v>0.2119</v>
      </c>
      <c r="K37" s="78">
        <v>0.1729</v>
      </c>
      <c r="L37" s="79">
        <v>0.1531</v>
      </c>
      <c r="N37" s="67">
        <v>35.0</v>
      </c>
      <c r="O37" s="70" t="s">
        <v>44</v>
      </c>
      <c r="P37" s="70" t="s">
        <v>53</v>
      </c>
      <c r="Q37" s="16">
        <f t="shared" si="2"/>
        <v>17</v>
      </c>
      <c r="R37" s="41">
        <v>0.019531</v>
      </c>
      <c r="S37" s="41">
        <v>0.044922</v>
      </c>
      <c r="T37" s="41">
        <v>0.071289</v>
      </c>
      <c r="U37" s="41">
        <v>0.114258</v>
      </c>
      <c r="V37" s="41">
        <v>0.1232</v>
      </c>
      <c r="W37" s="41">
        <v>0.0954</v>
      </c>
      <c r="X37" s="41">
        <v>0.1347</v>
      </c>
      <c r="Y37" s="41">
        <v>0.1279</v>
      </c>
    </row>
    <row r="38">
      <c r="A38" s="69">
        <v>36.0</v>
      </c>
      <c r="B38" s="70" t="s">
        <v>53</v>
      </c>
      <c r="C38" s="70" t="s">
        <v>35</v>
      </c>
      <c r="D38" s="71">
        <f t="shared" si="1"/>
        <v>17</v>
      </c>
      <c r="E38" s="72">
        <v>0.0195</v>
      </c>
      <c r="F38" s="73">
        <v>0.75</v>
      </c>
      <c r="G38" s="74">
        <v>0.9805</v>
      </c>
      <c r="H38" s="75">
        <v>2.0</v>
      </c>
      <c r="I38" s="76">
        <v>0.4256</v>
      </c>
      <c r="J38" s="77">
        <v>0.3664</v>
      </c>
      <c r="K38" s="78">
        <v>0.2195</v>
      </c>
      <c r="L38" s="79">
        <v>0.3933</v>
      </c>
      <c r="N38" s="67">
        <v>36.0</v>
      </c>
      <c r="O38" s="70" t="s">
        <v>53</v>
      </c>
      <c r="P38" s="70" t="s">
        <v>35</v>
      </c>
      <c r="Q38" s="16">
        <f t="shared" si="2"/>
        <v>17</v>
      </c>
      <c r="R38" s="41">
        <v>0.472656</v>
      </c>
      <c r="S38" s="41">
        <v>0.515625</v>
      </c>
      <c r="T38" s="41">
        <v>0.953125</v>
      </c>
      <c r="U38" s="41">
        <v>1.203125</v>
      </c>
      <c r="V38" s="41">
        <v>3.3971</v>
      </c>
      <c r="W38" s="41">
        <v>4.2559</v>
      </c>
      <c r="X38" s="41">
        <v>10.875</v>
      </c>
      <c r="Y38" s="41">
        <v>11.3214</v>
      </c>
    </row>
    <row r="39">
      <c r="A39" s="69">
        <v>37.0</v>
      </c>
      <c r="B39" s="70" t="s">
        <v>53</v>
      </c>
      <c r="C39" s="70" t="s">
        <v>44</v>
      </c>
      <c r="D39" s="71">
        <f t="shared" si="1"/>
        <v>17</v>
      </c>
      <c r="E39" s="72">
        <v>0.0068</v>
      </c>
      <c r="F39" s="73">
        <v>0.0127</v>
      </c>
      <c r="G39" s="74">
        <v>0.4375</v>
      </c>
      <c r="H39" s="75">
        <v>0.2744</v>
      </c>
      <c r="I39" s="76">
        <v>0.3584</v>
      </c>
      <c r="J39" s="77">
        <v>0.2655</v>
      </c>
      <c r="K39" s="78">
        <v>0.2362</v>
      </c>
      <c r="L39" s="79">
        <v>0.3467</v>
      </c>
      <c r="N39" s="67">
        <v>37.0</v>
      </c>
      <c r="O39" s="70" t="s">
        <v>53</v>
      </c>
      <c r="P39" s="70" t="s">
        <v>44</v>
      </c>
      <c r="Q39" s="16">
        <f t="shared" si="2"/>
        <v>17</v>
      </c>
      <c r="R39" s="41">
        <v>0.004883</v>
      </c>
      <c r="S39" s="41">
        <v>0.012695</v>
      </c>
      <c r="T39" s="41">
        <v>0.024414</v>
      </c>
      <c r="U39" s="41">
        <v>0.043945</v>
      </c>
      <c r="V39" s="41">
        <v>1.5088</v>
      </c>
      <c r="W39" s="41">
        <v>1.7572</v>
      </c>
      <c r="X39" s="41">
        <v>2.8621</v>
      </c>
      <c r="Y39" s="41">
        <v>4.2427</v>
      </c>
    </row>
    <row r="40">
      <c r="A40" s="69">
        <v>38.0</v>
      </c>
      <c r="B40" s="70" t="s">
        <v>62</v>
      </c>
      <c r="C40" s="70" t="s">
        <v>11</v>
      </c>
      <c r="D40" s="71">
        <f t="shared" si="1"/>
        <v>17</v>
      </c>
      <c r="E40" s="72">
        <v>0.4951</v>
      </c>
      <c r="F40" s="73">
        <v>0.5049</v>
      </c>
      <c r="G40" s="74">
        <v>0.6455</v>
      </c>
      <c r="H40" s="75">
        <v>0.8682</v>
      </c>
      <c r="I40" s="76">
        <v>0.3619</v>
      </c>
      <c r="J40" s="77">
        <v>0.3022</v>
      </c>
      <c r="K40" s="78">
        <v>0.1862</v>
      </c>
      <c r="L40" s="79">
        <v>0.4256</v>
      </c>
      <c r="N40" s="67">
        <v>38.0</v>
      </c>
      <c r="O40" s="70" t="s">
        <v>62</v>
      </c>
      <c r="P40" s="70" t="s">
        <v>11</v>
      </c>
      <c r="Q40" s="16">
        <f t="shared" si="2"/>
        <v>17</v>
      </c>
      <c r="R40" s="41">
        <v>0.004883</v>
      </c>
      <c r="S40" s="41">
        <v>0.020508</v>
      </c>
      <c r="T40" s="41">
        <v>0.493164</v>
      </c>
      <c r="U40" s="41">
        <v>0.645508</v>
      </c>
      <c r="V40" s="41">
        <v>1.2521</v>
      </c>
      <c r="W40" s="41">
        <v>1.7022</v>
      </c>
      <c r="X40" s="41">
        <v>2.9708</v>
      </c>
      <c r="Y40" s="41">
        <v>4.2892</v>
      </c>
    </row>
    <row r="41">
      <c r="A41" s="69">
        <v>39.0</v>
      </c>
      <c r="B41" s="70" t="s">
        <v>11</v>
      </c>
      <c r="C41" s="70" t="s">
        <v>53</v>
      </c>
      <c r="D41" s="71">
        <f t="shared" si="1"/>
        <v>18</v>
      </c>
      <c r="E41" s="72">
        <v>0.0117</v>
      </c>
      <c r="F41" s="73">
        <v>0.0469</v>
      </c>
      <c r="G41" s="74">
        <v>0.3965</v>
      </c>
      <c r="H41" s="75">
        <v>0.3965</v>
      </c>
      <c r="I41" s="76">
        <v>0.5066</v>
      </c>
      <c r="J41" s="77">
        <v>0.2512</v>
      </c>
      <c r="K41" s="78">
        <v>0.1802</v>
      </c>
      <c r="L41" s="79">
        <v>0.392</v>
      </c>
      <c r="N41" s="67">
        <v>39.0</v>
      </c>
      <c r="O41" s="70" t="s">
        <v>11</v>
      </c>
      <c r="P41" s="70" t="s">
        <v>53</v>
      </c>
      <c r="Q41" s="16">
        <f t="shared" si="2"/>
        <v>18</v>
      </c>
      <c r="R41" s="41">
        <v>0.019531</v>
      </c>
      <c r="S41" s="41">
        <v>0.046875</v>
      </c>
      <c r="T41" s="41">
        <v>0.25</v>
      </c>
      <c r="U41" s="41">
        <v>0.277344</v>
      </c>
      <c r="V41" s="41">
        <v>0.6095</v>
      </c>
      <c r="W41" s="41">
        <v>0.7855</v>
      </c>
      <c r="X41" s="41">
        <v>1.0005</v>
      </c>
      <c r="Y41" s="41">
        <v>1.3047</v>
      </c>
    </row>
    <row r="42">
      <c r="A42" s="69">
        <v>40.0</v>
      </c>
      <c r="B42" s="70" t="s">
        <v>35</v>
      </c>
      <c r="C42" s="70" t="s">
        <v>35</v>
      </c>
      <c r="D42" s="71">
        <f t="shared" si="1"/>
        <v>18</v>
      </c>
      <c r="E42" s="72">
        <v>0.0195</v>
      </c>
      <c r="F42" s="73">
        <v>0.2969</v>
      </c>
      <c r="G42" s="74">
        <v>0.332</v>
      </c>
      <c r="H42" s="75">
        <v>0.3477</v>
      </c>
      <c r="I42" s="76">
        <v>0.5444</v>
      </c>
      <c r="J42" s="77">
        <v>0.1623</v>
      </c>
      <c r="K42" s="78">
        <v>0.1157</v>
      </c>
      <c r="L42" s="79">
        <v>0.1747</v>
      </c>
      <c r="N42" s="67">
        <v>40.0</v>
      </c>
      <c r="O42" s="70" t="s">
        <v>35</v>
      </c>
      <c r="P42" s="70" t="s">
        <v>35</v>
      </c>
      <c r="Q42" s="16">
        <f t="shared" si="2"/>
        <v>18</v>
      </c>
      <c r="R42" s="41">
        <v>0.019531</v>
      </c>
      <c r="S42" s="41">
        <v>0.046875</v>
      </c>
      <c r="T42" s="41">
        <v>0.113281</v>
      </c>
      <c r="U42" s="41">
        <v>0.140625</v>
      </c>
      <c r="V42" s="41">
        <v>0.3012</v>
      </c>
      <c r="W42" s="41">
        <v>0.3282</v>
      </c>
      <c r="X42" s="41">
        <v>0.4366</v>
      </c>
      <c r="Y42" s="41">
        <v>0.5018</v>
      </c>
    </row>
    <row r="43">
      <c r="A43" s="69">
        <v>41.0</v>
      </c>
      <c r="B43" s="70" t="s">
        <v>35</v>
      </c>
      <c r="C43" s="70" t="s">
        <v>44</v>
      </c>
      <c r="D43" s="71">
        <f t="shared" si="1"/>
        <v>18</v>
      </c>
      <c r="E43" s="72">
        <v>0.0068</v>
      </c>
      <c r="F43" s="73">
        <v>0.0938</v>
      </c>
      <c r="G43" s="74">
        <v>0.2715</v>
      </c>
      <c r="H43" s="75">
        <v>0.2383</v>
      </c>
      <c r="I43" s="76">
        <v>0.456</v>
      </c>
      <c r="J43" s="77">
        <v>0.1291</v>
      </c>
      <c r="K43" s="78">
        <v>0.075</v>
      </c>
      <c r="L43" s="79">
        <v>0.1559</v>
      </c>
      <c r="N43" s="67">
        <v>41.0</v>
      </c>
      <c r="O43" s="70" t="s">
        <v>35</v>
      </c>
      <c r="P43" s="70" t="s">
        <v>44</v>
      </c>
      <c r="Q43" s="16">
        <f t="shared" si="2"/>
        <v>18</v>
      </c>
      <c r="R43" s="41">
        <v>0.015625</v>
      </c>
      <c r="S43" s="41">
        <v>0.066406</v>
      </c>
      <c r="T43" s="41">
        <v>0.128906</v>
      </c>
      <c r="U43" s="41">
        <v>0.179688</v>
      </c>
      <c r="V43" s="41">
        <v>0.086</v>
      </c>
      <c r="W43" s="41">
        <v>0.0765</v>
      </c>
      <c r="X43" s="41">
        <v>0.0933</v>
      </c>
      <c r="Y43" s="41">
        <v>0.0852</v>
      </c>
    </row>
    <row r="44">
      <c r="A44" s="69">
        <v>42.0</v>
      </c>
      <c r="B44" s="70" t="s">
        <v>44</v>
      </c>
      <c r="C44" s="70" t="s">
        <v>35</v>
      </c>
      <c r="D44" s="71">
        <f t="shared" si="1"/>
        <v>18</v>
      </c>
      <c r="E44" s="72">
        <v>0.0059</v>
      </c>
      <c r="F44" s="73">
        <v>0.0234</v>
      </c>
      <c r="G44" s="74">
        <v>0.1768</v>
      </c>
      <c r="H44" s="75">
        <v>0.1807</v>
      </c>
      <c r="I44" s="76">
        <v>0.5266</v>
      </c>
      <c r="J44" s="77">
        <v>0.0117</v>
      </c>
      <c r="K44" s="78">
        <v>0.0976</v>
      </c>
      <c r="L44" s="79">
        <v>0.1798</v>
      </c>
      <c r="N44" s="67">
        <v>42.0</v>
      </c>
      <c r="O44" s="70" t="s">
        <v>44</v>
      </c>
      <c r="P44" s="70" t="s">
        <v>35</v>
      </c>
      <c r="Q44" s="16">
        <f t="shared" si="2"/>
        <v>18</v>
      </c>
      <c r="R44" s="41">
        <v>0.003906</v>
      </c>
      <c r="S44" s="41">
        <v>0.015625</v>
      </c>
      <c r="T44" s="41">
        <v>0.035156</v>
      </c>
      <c r="U44" s="41">
        <v>0.061523</v>
      </c>
      <c r="V44" s="41">
        <v>0.0731</v>
      </c>
      <c r="W44" s="41">
        <v>0.0759</v>
      </c>
      <c r="X44" s="41">
        <v>0.0836</v>
      </c>
      <c r="Y44" s="41">
        <v>0.0956</v>
      </c>
    </row>
    <row r="45">
      <c r="A45" s="69">
        <v>43.0</v>
      </c>
      <c r="B45" s="70" t="s">
        <v>44</v>
      </c>
      <c r="C45" s="70" t="s">
        <v>44</v>
      </c>
      <c r="D45" s="71">
        <f t="shared" si="1"/>
        <v>18</v>
      </c>
      <c r="E45" s="72">
        <v>0.0068</v>
      </c>
      <c r="F45" s="73">
        <v>1.4746</v>
      </c>
      <c r="G45" s="74">
        <v>2.0078</v>
      </c>
      <c r="H45" s="75">
        <v>2.1162</v>
      </c>
      <c r="I45" s="76">
        <v>0.4873</v>
      </c>
      <c r="J45" s="77">
        <v>0.0454</v>
      </c>
      <c r="K45" s="78">
        <v>0.2393</v>
      </c>
      <c r="L45" s="79">
        <v>0.5122</v>
      </c>
      <c r="N45" s="67">
        <v>43.0</v>
      </c>
      <c r="O45" s="70" t="s">
        <v>44</v>
      </c>
      <c r="P45" s="70" t="s">
        <v>44</v>
      </c>
      <c r="Q45" s="16">
        <f t="shared" si="2"/>
        <v>18</v>
      </c>
      <c r="R45" s="41">
        <v>0.484375</v>
      </c>
      <c r="S45" s="41">
        <v>0.494141</v>
      </c>
      <c r="T45" s="41">
        <v>0.994141</v>
      </c>
      <c r="U45" s="41">
        <v>1.942383</v>
      </c>
      <c r="V45" s="41">
        <v>3.3197</v>
      </c>
      <c r="W45" s="41">
        <v>4.245</v>
      </c>
      <c r="X45" s="41">
        <v>9.4492</v>
      </c>
      <c r="Y45" s="41">
        <v>10.5346</v>
      </c>
    </row>
    <row r="46">
      <c r="A46" s="69">
        <v>44.0</v>
      </c>
      <c r="B46" s="70" t="s">
        <v>53</v>
      </c>
      <c r="C46" s="70" t="s">
        <v>11</v>
      </c>
      <c r="D46" s="71">
        <f t="shared" si="1"/>
        <v>18</v>
      </c>
      <c r="E46" s="72">
        <v>0.4805</v>
      </c>
      <c r="F46" s="73">
        <v>0.5176</v>
      </c>
      <c r="G46" s="74">
        <v>0.7676</v>
      </c>
      <c r="H46" s="75">
        <v>1.7939</v>
      </c>
      <c r="I46" s="76">
        <v>0.5794</v>
      </c>
      <c r="J46" s="77">
        <v>0.0325</v>
      </c>
      <c r="K46" s="78">
        <v>0.2165</v>
      </c>
      <c r="L46" s="79">
        <v>0.3723</v>
      </c>
      <c r="N46" s="67">
        <v>44.0</v>
      </c>
      <c r="O46" s="70" t="s">
        <v>53</v>
      </c>
      <c r="P46" s="70" t="s">
        <v>11</v>
      </c>
      <c r="Q46" s="16">
        <f t="shared" si="2"/>
        <v>18</v>
      </c>
      <c r="R46" s="41">
        <v>0.005859</v>
      </c>
      <c r="S46" s="41">
        <v>0.505859</v>
      </c>
      <c r="T46" s="41">
        <v>0.762695</v>
      </c>
      <c r="U46" s="41">
        <v>1.024414</v>
      </c>
      <c r="V46" s="41">
        <v>1.365</v>
      </c>
      <c r="W46" s="41">
        <v>1.6155</v>
      </c>
      <c r="X46" s="41">
        <v>2.9227</v>
      </c>
      <c r="Y46" s="41">
        <v>4.5339</v>
      </c>
    </row>
    <row r="47">
      <c r="A47" s="69">
        <v>45.0</v>
      </c>
      <c r="B47" s="70" t="s">
        <v>11</v>
      </c>
      <c r="C47" s="70" t="s">
        <v>35</v>
      </c>
      <c r="D47" s="71">
        <f t="shared" si="1"/>
        <v>19</v>
      </c>
      <c r="E47" s="72">
        <v>0.0059</v>
      </c>
      <c r="F47" s="73">
        <v>0.5117</v>
      </c>
      <c r="G47" s="74">
        <v>0.5059</v>
      </c>
      <c r="H47" s="75">
        <v>0.6279</v>
      </c>
      <c r="I47" s="76">
        <v>0.67</v>
      </c>
      <c r="J47" s="77">
        <v>0.1994</v>
      </c>
      <c r="K47" s="78">
        <v>0.2204</v>
      </c>
      <c r="L47" s="79">
        <v>0.4529</v>
      </c>
      <c r="N47" s="67">
        <v>45.0</v>
      </c>
      <c r="O47" s="70" t="s">
        <v>11</v>
      </c>
      <c r="P47" s="70" t="s">
        <v>35</v>
      </c>
      <c r="Q47" s="16">
        <f t="shared" si="2"/>
        <v>19</v>
      </c>
      <c r="R47" s="41">
        <v>0.006836</v>
      </c>
      <c r="S47" s="41">
        <v>0.018555</v>
      </c>
      <c r="T47" s="41">
        <v>0.030273</v>
      </c>
      <c r="U47" s="41">
        <v>0.280273</v>
      </c>
      <c r="V47" s="41">
        <v>1.2783</v>
      </c>
      <c r="W47" s="41">
        <v>1.667</v>
      </c>
      <c r="X47" s="41">
        <v>2.7729</v>
      </c>
      <c r="Y47" s="41">
        <v>4.4196</v>
      </c>
    </row>
    <row r="48">
      <c r="A48" s="69">
        <v>46.0</v>
      </c>
      <c r="B48" s="70" t="s">
        <v>11</v>
      </c>
      <c r="C48" s="70" t="s">
        <v>44</v>
      </c>
      <c r="D48" s="71">
        <f t="shared" si="1"/>
        <v>19</v>
      </c>
      <c r="E48" s="72">
        <v>0.0068</v>
      </c>
      <c r="F48" s="73">
        <v>0.3857</v>
      </c>
      <c r="G48" s="74">
        <v>0.3936</v>
      </c>
      <c r="H48" s="75">
        <v>0.5381</v>
      </c>
      <c r="I48" s="76">
        <v>0.6079</v>
      </c>
      <c r="J48" s="77">
        <v>0.2393</v>
      </c>
      <c r="K48" s="78">
        <v>0.1483</v>
      </c>
      <c r="L48" s="79">
        <v>0.3891</v>
      </c>
      <c r="N48" s="67">
        <v>46.0</v>
      </c>
      <c r="O48" s="70" t="s">
        <v>11</v>
      </c>
      <c r="P48" s="70" t="s">
        <v>44</v>
      </c>
      <c r="Q48" s="16">
        <f t="shared" si="2"/>
        <v>19</v>
      </c>
      <c r="R48" s="41">
        <v>0.011719</v>
      </c>
      <c r="S48" s="41">
        <v>0.023438</v>
      </c>
      <c r="T48" s="41">
        <v>0.136719</v>
      </c>
      <c r="U48" s="41">
        <v>0.148438</v>
      </c>
      <c r="V48" s="41">
        <v>0.7042</v>
      </c>
      <c r="W48" s="41">
        <v>0.6771</v>
      </c>
      <c r="X48" s="41">
        <v>1.0494</v>
      </c>
      <c r="Y48" s="41">
        <v>1.2697</v>
      </c>
    </row>
    <row r="49">
      <c r="A49" s="69">
        <v>47.0</v>
      </c>
      <c r="B49" s="70" t="s">
        <v>35</v>
      </c>
      <c r="C49" s="70" t="s">
        <v>11</v>
      </c>
      <c r="D49" s="71">
        <f t="shared" si="1"/>
        <v>19</v>
      </c>
      <c r="E49" s="72">
        <v>0.4805</v>
      </c>
      <c r="F49" s="73">
        <v>0.2246</v>
      </c>
      <c r="G49" s="74">
        <v>0.252</v>
      </c>
      <c r="H49" s="75">
        <v>0.3848</v>
      </c>
      <c r="I49" s="76">
        <v>0.7161</v>
      </c>
      <c r="J49" s="77">
        <v>0.2469</v>
      </c>
      <c r="K49" s="78">
        <v>0.1683</v>
      </c>
      <c r="L49" s="79">
        <v>0.2199</v>
      </c>
      <c r="N49" s="67">
        <v>47.0</v>
      </c>
      <c r="O49" s="70" t="s">
        <v>35</v>
      </c>
      <c r="P49" s="70" t="s">
        <v>11</v>
      </c>
      <c r="Q49" s="16">
        <f t="shared" si="2"/>
        <v>19</v>
      </c>
      <c r="R49" s="41">
        <v>0.005859</v>
      </c>
      <c r="S49" s="41">
        <v>0.119141</v>
      </c>
      <c r="T49" s="41">
        <v>0.191406</v>
      </c>
      <c r="U49" s="41">
        <v>0.212891</v>
      </c>
      <c r="V49" s="41">
        <v>0.277</v>
      </c>
      <c r="W49" s="41">
        <v>0.3382</v>
      </c>
      <c r="X49" s="41">
        <v>0.4109</v>
      </c>
      <c r="Y49" s="41">
        <v>0.3967</v>
      </c>
    </row>
    <row r="50">
      <c r="A50" s="69">
        <v>48.0</v>
      </c>
      <c r="B50" s="70" t="s">
        <v>44</v>
      </c>
      <c r="C50" s="70" t="s">
        <v>11</v>
      </c>
      <c r="D50" s="71">
        <f t="shared" si="1"/>
        <v>19</v>
      </c>
      <c r="E50" s="72">
        <v>0.4805</v>
      </c>
      <c r="F50" s="73">
        <v>0.1152</v>
      </c>
      <c r="G50" s="74">
        <v>0.1836</v>
      </c>
      <c r="H50" s="75">
        <v>0.1934</v>
      </c>
      <c r="I50" s="76">
        <v>0.7613</v>
      </c>
      <c r="J50" s="77">
        <v>0.0092</v>
      </c>
      <c r="K50" s="78">
        <v>0.0591</v>
      </c>
      <c r="L50" s="79">
        <v>0.1302</v>
      </c>
      <c r="N50" s="67">
        <v>48.0</v>
      </c>
      <c r="O50" s="70" t="s">
        <v>44</v>
      </c>
      <c r="P50" s="70" t="s">
        <v>11</v>
      </c>
      <c r="Q50" s="16">
        <f t="shared" si="2"/>
        <v>19</v>
      </c>
      <c r="R50" s="41">
        <v>0.024414</v>
      </c>
      <c r="S50" s="41">
        <v>0.061523</v>
      </c>
      <c r="T50" s="41">
        <v>0.113281</v>
      </c>
      <c r="U50" s="41">
        <v>0.117188</v>
      </c>
      <c r="V50" s="41">
        <v>0.0711</v>
      </c>
      <c r="W50" s="41">
        <v>0.0637</v>
      </c>
      <c r="X50" s="41">
        <v>0.0764</v>
      </c>
      <c r="Y50" s="41">
        <v>0.0763</v>
      </c>
    </row>
    <row r="51">
      <c r="A51" s="69">
        <v>49.0</v>
      </c>
      <c r="B51" s="70" t="s">
        <v>11</v>
      </c>
      <c r="C51" s="70" t="s">
        <v>11</v>
      </c>
      <c r="D51" s="71">
        <f t="shared" si="1"/>
        <v>20</v>
      </c>
      <c r="E51" s="72">
        <v>0.4805</v>
      </c>
      <c r="F51" s="73">
        <v>0.1074</v>
      </c>
      <c r="G51" s="74">
        <v>0.125</v>
      </c>
      <c r="H51" s="75">
        <v>0.1465</v>
      </c>
      <c r="I51" s="76">
        <v>0.9596</v>
      </c>
      <c r="J51" s="77">
        <v>0.0659</v>
      </c>
      <c r="K51" s="78">
        <v>0.0625</v>
      </c>
      <c r="L51" s="79">
        <v>0.1263</v>
      </c>
      <c r="N51" s="67">
        <v>49.0</v>
      </c>
      <c r="O51" s="70" t="s">
        <v>11</v>
      </c>
      <c r="P51" s="70" t="s">
        <v>11</v>
      </c>
      <c r="Q51" s="16">
        <f t="shared" si="2"/>
        <v>20</v>
      </c>
      <c r="R51" s="41">
        <v>0.024414</v>
      </c>
      <c r="S51" s="41">
        <v>0.049805</v>
      </c>
      <c r="T51" s="41">
        <v>0.081055</v>
      </c>
      <c r="U51" s="41">
        <v>0.092773</v>
      </c>
      <c r="V51" s="41">
        <v>0.0804</v>
      </c>
      <c r="W51" s="41">
        <v>0.0878</v>
      </c>
      <c r="X51" s="41">
        <v>0.093</v>
      </c>
      <c r="Y51" s="41">
        <v>0.1062</v>
      </c>
    </row>
    <row r="52">
      <c r="D52" s="80"/>
    </row>
    <row r="53">
      <c r="A53" s="67" t="s">
        <v>877</v>
      </c>
      <c r="D53" s="80"/>
      <c r="N53" s="67" t="s">
        <v>877</v>
      </c>
    </row>
    <row r="54">
      <c r="A54" s="68" t="s">
        <v>864</v>
      </c>
      <c r="B54" s="68" t="s">
        <v>865</v>
      </c>
      <c r="C54" s="68" t="s">
        <v>866</v>
      </c>
      <c r="D54" s="81" t="s">
        <v>867</v>
      </c>
      <c r="E54" s="68" t="s">
        <v>868</v>
      </c>
      <c r="F54" s="68" t="s">
        <v>869</v>
      </c>
      <c r="G54" s="68" t="s">
        <v>870</v>
      </c>
      <c r="H54" s="68" t="s">
        <v>871</v>
      </c>
      <c r="I54" s="68" t="s">
        <v>872</v>
      </c>
      <c r="J54" s="68" t="s">
        <v>873</v>
      </c>
      <c r="K54" s="68" t="s">
        <v>874</v>
      </c>
      <c r="L54" s="68" t="s">
        <v>875</v>
      </c>
      <c r="N54" s="68" t="s">
        <v>876</v>
      </c>
      <c r="O54" s="68" t="s">
        <v>865</v>
      </c>
      <c r="P54" s="68" t="s">
        <v>866</v>
      </c>
      <c r="Q54" s="68" t="s">
        <v>867</v>
      </c>
      <c r="R54" s="68" t="s">
        <v>868</v>
      </c>
      <c r="S54" s="68" t="s">
        <v>869</v>
      </c>
      <c r="T54" s="68" t="s">
        <v>870</v>
      </c>
      <c r="U54" s="68" t="s">
        <v>871</v>
      </c>
      <c r="V54" s="68" t="s">
        <v>872</v>
      </c>
      <c r="W54" s="68" t="s">
        <v>873</v>
      </c>
      <c r="X54" s="68" t="s">
        <v>874</v>
      </c>
      <c r="Y54" s="68" t="s">
        <v>875</v>
      </c>
    </row>
    <row r="55">
      <c r="A55" s="67">
        <v>1.0</v>
      </c>
      <c r="B55" s="17" t="s">
        <v>423</v>
      </c>
      <c r="C55" s="17" t="s">
        <v>423</v>
      </c>
      <c r="D55" s="82">
        <f t="shared" ref="D55:D104" si="3">LEN(B55)+LEN(C55)</f>
        <v>30</v>
      </c>
      <c r="E55" s="38">
        <v>0.0</v>
      </c>
      <c r="F55" s="38">
        <v>0.2308</v>
      </c>
      <c r="G55" s="38">
        <v>0.2172</v>
      </c>
      <c r="H55" s="38">
        <v>0.2452</v>
      </c>
      <c r="I55" s="39">
        <v>0.056</v>
      </c>
      <c r="J55" s="39">
        <v>3.5663</v>
      </c>
      <c r="K55" s="39">
        <v>4.2349</v>
      </c>
      <c r="L55" s="39">
        <v>4.0002</v>
      </c>
      <c r="N55" s="67">
        <v>1.0</v>
      </c>
      <c r="O55" s="17" t="s">
        <v>423</v>
      </c>
      <c r="P55" s="17" t="s">
        <v>423</v>
      </c>
      <c r="Q55" s="16">
        <f t="shared" ref="Q55:Q104" si="4">LEN(O55)+LEN(P55)</f>
        <v>30</v>
      </c>
      <c r="R55" s="54">
        <v>0.071169</v>
      </c>
      <c r="S55" s="54">
        <v>0.0</v>
      </c>
      <c r="T55" s="54">
        <v>0.008518</v>
      </c>
      <c r="U55" s="54">
        <v>0.004263</v>
      </c>
      <c r="V55" s="54">
        <v>30.0536</v>
      </c>
      <c r="W55" s="55">
        <v>22.4467</v>
      </c>
      <c r="X55" s="55">
        <v>30.5297</v>
      </c>
      <c r="Y55" s="55">
        <v>31.1088</v>
      </c>
    </row>
    <row r="56">
      <c r="A56" s="67">
        <v>2.0</v>
      </c>
      <c r="B56" s="17" t="s">
        <v>423</v>
      </c>
      <c r="C56" s="17" t="s">
        <v>432</v>
      </c>
      <c r="D56" s="82">
        <f t="shared" si="3"/>
        <v>29</v>
      </c>
      <c r="E56" s="38">
        <v>0.0</v>
      </c>
      <c r="F56" s="38">
        <v>0.2383</v>
      </c>
      <c r="G56" s="38">
        <v>0.1648</v>
      </c>
      <c r="H56" s="38">
        <v>0.1891</v>
      </c>
      <c r="I56" s="39">
        <v>0.0376</v>
      </c>
      <c r="J56" s="39">
        <v>2.0399</v>
      </c>
      <c r="K56" s="39">
        <v>2.3245</v>
      </c>
      <c r="L56" s="39">
        <v>2.636</v>
      </c>
      <c r="N56" s="67">
        <v>2.0</v>
      </c>
      <c r="O56" s="17" t="s">
        <v>423</v>
      </c>
      <c r="P56" s="17" t="s">
        <v>432</v>
      </c>
      <c r="Q56" s="16">
        <f t="shared" si="4"/>
        <v>29</v>
      </c>
      <c r="R56" s="54">
        <v>0.0806</v>
      </c>
      <c r="S56" s="54">
        <v>0.0</v>
      </c>
      <c r="T56" s="54">
        <v>0.0</v>
      </c>
      <c r="U56" s="54">
        <v>0.0</v>
      </c>
      <c r="V56" s="54">
        <v>30.0702</v>
      </c>
      <c r="W56" s="55">
        <v>11.2993</v>
      </c>
      <c r="X56" s="55">
        <v>17.7084</v>
      </c>
      <c r="Y56" s="55">
        <v>23.0212</v>
      </c>
    </row>
    <row r="57">
      <c r="A57" s="67">
        <v>3.0</v>
      </c>
      <c r="B57" s="17" t="s">
        <v>423</v>
      </c>
      <c r="C57" s="17" t="s">
        <v>441</v>
      </c>
      <c r="D57" s="82">
        <f t="shared" si="3"/>
        <v>29</v>
      </c>
      <c r="E57" s="38">
        <v>0.0</v>
      </c>
      <c r="F57" s="38">
        <v>0.1711</v>
      </c>
      <c r="G57" s="38">
        <v>0.2527</v>
      </c>
      <c r="H57" s="38">
        <v>0.2646</v>
      </c>
      <c r="I57" s="39">
        <v>0.2932</v>
      </c>
      <c r="J57" s="39">
        <v>2.2594</v>
      </c>
      <c r="K57" s="39">
        <v>2.215</v>
      </c>
      <c r="L57" s="39">
        <v>2.4276</v>
      </c>
      <c r="N57" s="67">
        <v>3.0</v>
      </c>
      <c r="O57" s="17" t="s">
        <v>423</v>
      </c>
      <c r="P57" s="17" t="s">
        <v>441</v>
      </c>
      <c r="Q57" s="16">
        <f t="shared" si="4"/>
        <v>29</v>
      </c>
      <c r="R57" s="54">
        <v>0.066363</v>
      </c>
      <c r="S57" s="54">
        <v>0.0</v>
      </c>
      <c r="T57" s="54">
        <v>0.0</v>
      </c>
      <c r="U57" s="54">
        <v>0.0</v>
      </c>
      <c r="V57" s="54">
        <v>30.0448</v>
      </c>
      <c r="W57" s="55">
        <v>10.2293</v>
      </c>
      <c r="X57" s="55">
        <v>16.6209</v>
      </c>
      <c r="Y57" s="55">
        <v>5.8181</v>
      </c>
    </row>
    <row r="58">
      <c r="A58" s="67">
        <v>4.0</v>
      </c>
      <c r="B58" s="17" t="s">
        <v>423</v>
      </c>
      <c r="C58" s="17" t="s">
        <v>450</v>
      </c>
      <c r="D58" s="82">
        <f t="shared" si="3"/>
        <v>28</v>
      </c>
      <c r="E58" s="38">
        <v>0.0</v>
      </c>
      <c r="F58" s="38">
        <v>0.2414</v>
      </c>
      <c r="G58" s="38">
        <v>0.284</v>
      </c>
      <c r="H58" s="38">
        <v>0.2762</v>
      </c>
      <c r="I58" s="39">
        <v>0.2315</v>
      </c>
      <c r="J58" s="39">
        <v>1.577</v>
      </c>
      <c r="K58" s="39">
        <v>1.8129</v>
      </c>
      <c r="L58" s="39">
        <v>2.0749</v>
      </c>
      <c r="N58" s="67">
        <v>4.0</v>
      </c>
      <c r="O58" s="17" t="s">
        <v>423</v>
      </c>
      <c r="P58" s="17" t="s">
        <v>450</v>
      </c>
      <c r="Q58" s="16">
        <f t="shared" si="4"/>
        <v>28</v>
      </c>
      <c r="R58" s="54">
        <v>0.0</v>
      </c>
      <c r="S58" s="54">
        <v>0.0</v>
      </c>
      <c r="T58" s="54">
        <v>0.003906</v>
      </c>
      <c r="U58" s="54">
        <v>0.004231</v>
      </c>
      <c r="V58" s="54">
        <v>29.2885</v>
      </c>
      <c r="W58" s="55">
        <v>1.9986</v>
      </c>
      <c r="X58" s="55">
        <v>3.3655</v>
      </c>
      <c r="Y58" s="55">
        <v>5.1702</v>
      </c>
    </row>
    <row r="59">
      <c r="A59" s="67">
        <v>5.0</v>
      </c>
      <c r="B59" s="17" t="s">
        <v>423</v>
      </c>
      <c r="C59" s="17" t="s">
        <v>459</v>
      </c>
      <c r="D59" s="82">
        <f t="shared" si="3"/>
        <v>25</v>
      </c>
      <c r="E59" s="38">
        <v>0.0013</v>
      </c>
      <c r="F59" s="38">
        <v>0.067</v>
      </c>
      <c r="G59" s="38">
        <v>0.0659</v>
      </c>
      <c r="H59" s="38">
        <v>0.0706</v>
      </c>
      <c r="I59" s="39">
        <v>2.2352</v>
      </c>
      <c r="J59" s="39">
        <v>1.0107</v>
      </c>
      <c r="K59" s="39">
        <v>1.2232</v>
      </c>
      <c r="L59" s="39">
        <v>1.4831</v>
      </c>
      <c r="N59" s="67">
        <v>5.0</v>
      </c>
      <c r="O59" s="17" t="s">
        <v>423</v>
      </c>
      <c r="P59" s="17" t="s">
        <v>459</v>
      </c>
      <c r="Q59" s="16">
        <f t="shared" si="4"/>
        <v>25</v>
      </c>
      <c r="R59" s="54">
        <v>7.61E-4</v>
      </c>
      <c r="S59" s="54">
        <v>0.001555</v>
      </c>
      <c r="T59" s="54">
        <v>0.003028</v>
      </c>
      <c r="U59" s="54">
        <v>0.01649</v>
      </c>
      <c r="V59" s="54">
        <v>2.3969</v>
      </c>
      <c r="W59" s="55">
        <v>3.1791</v>
      </c>
      <c r="X59" s="55">
        <v>17.0673</v>
      </c>
      <c r="Y59" s="55">
        <v>30.1593</v>
      </c>
    </row>
    <row r="60">
      <c r="A60" s="67">
        <v>6.0</v>
      </c>
      <c r="B60" s="17" t="s">
        <v>423</v>
      </c>
      <c r="C60" s="17" t="s">
        <v>468</v>
      </c>
      <c r="D60" s="82">
        <f t="shared" si="3"/>
        <v>23</v>
      </c>
      <c r="E60" s="38">
        <v>0.0044</v>
      </c>
      <c r="F60" s="38">
        <v>0.0487</v>
      </c>
      <c r="G60" s="38">
        <v>0.0947</v>
      </c>
      <c r="H60" s="38">
        <v>0.0971</v>
      </c>
      <c r="I60" s="39">
        <v>2.1588</v>
      </c>
      <c r="J60" s="39">
        <v>0.7993</v>
      </c>
      <c r="K60" s="39">
        <v>0.7342</v>
      </c>
      <c r="L60" s="39">
        <v>0.9462</v>
      </c>
      <c r="N60" s="67">
        <v>6.0</v>
      </c>
      <c r="O60" s="17" t="s">
        <v>423</v>
      </c>
      <c r="P60" s="17" t="s">
        <v>468</v>
      </c>
      <c r="Q60" s="16">
        <f t="shared" si="4"/>
        <v>23</v>
      </c>
      <c r="R60" s="54">
        <v>1.0E-4</v>
      </c>
      <c r="S60" s="54">
        <v>4.36E-4</v>
      </c>
      <c r="T60" s="54">
        <v>7.75E-4</v>
      </c>
      <c r="U60" s="54">
        <v>0.001184</v>
      </c>
      <c r="V60" s="54">
        <v>2.4167</v>
      </c>
      <c r="W60" s="55">
        <v>2.821</v>
      </c>
      <c r="X60" s="55">
        <v>3.316</v>
      </c>
      <c r="Y60" s="55">
        <v>4.289</v>
      </c>
    </row>
    <row r="61">
      <c r="A61" s="67">
        <v>7.0</v>
      </c>
      <c r="B61" s="17" t="s">
        <v>423</v>
      </c>
      <c r="C61" s="17" t="s">
        <v>477</v>
      </c>
      <c r="D61" s="82">
        <f t="shared" si="3"/>
        <v>22</v>
      </c>
      <c r="E61" s="38">
        <v>0.0072</v>
      </c>
      <c r="F61" s="38">
        <v>0.0745</v>
      </c>
      <c r="G61" s="38">
        <v>0.0663</v>
      </c>
      <c r="H61" s="38">
        <v>0.1009</v>
      </c>
      <c r="I61" s="39">
        <v>2.5975</v>
      </c>
      <c r="J61" s="39">
        <v>0.7622</v>
      </c>
      <c r="K61" s="39">
        <v>0.892</v>
      </c>
      <c r="L61" s="39">
        <v>1.0787</v>
      </c>
      <c r="N61" s="67">
        <v>7.0</v>
      </c>
      <c r="O61" s="17" t="s">
        <v>423</v>
      </c>
      <c r="P61" s="17" t="s">
        <v>477</v>
      </c>
      <c r="Q61" s="16">
        <f t="shared" si="4"/>
        <v>22</v>
      </c>
      <c r="R61" s="54">
        <v>2.01E-4</v>
      </c>
      <c r="S61" s="54">
        <v>4.77E-4</v>
      </c>
      <c r="T61" s="54">
        <v>0.001082</v>
      </c>
      <c r="U61" s="54">
        <v>0.001699</v>
      </c>
      <c r="V61" s="54">
        <v>1.1813</v>
      </c>
      <c r="W61" s="55">
        <v>1.323</v>
      </c>
      <c r="X61" s="55">
        <v>1.4854</v>
      </c>
      <c r="Y61" s="55">
        <v>1.8955</v>
      </c>
    </row>
    <row r="62">
      <c r="A62" s="67">
        <v>8.0</v>
      </c>
      <c r="B62" s="17" t="s">
        <v>432</v>
      </c>
      <c r="C62" s="17" t="s">
        <v>423</v>
      </c>
      <c r="D62" s="82">
        <f t="shared" si="3"/>
        <v>29</v>
      </c>
      <c r="E62" s="38">
        <v>0.0</v>
      </c>
      <c r="F62" s="38">
        <v>0.1963</v>
      </c>
      <c r="G62" s="38">
        <v>0.1946</v>
      </c>
      <c r="H62" s="38">
        <v>0.205</v>
      </c>
      <c r="I62" s="39">
        <v>0.0399</v>
      </c>
      <c r="J62" s="39">
        <v>3.3534</v>
      </c>
      <c r="K62" s="39">
        <v>3.6531</v>
      </c>
      <c r="L62" s="39">
        <v>4.242</v>
      </c>
      <c r="N62" s="67">
        <v>8.0</v>
      </c>
      <c r="O62" s="17" t="s">
        <v>432</v>
      </c>
      <c r="P62" s="17" t="s">
        <v>423</v>
      </c>
      <c r="Q62" s="16">
        <f t="shared" si="4"/>
        <v>29</v>
      </c>
      <c r="R62" s="54">
        <v>0.073146</v>
      </c>
      <c r="S62" s="54">
        <v>0.0</v>
      </c>
      <c r="T62" s="54">
        <v>0.0</v>
      </c>
      <c r="U62" s="54">
        <v>0.0</v>
      </c>
      <c r="V62" s="54">
        <v>30.0111</v>
      </c>
      <c r="W62" s="55">
        <v>19.6749</v>
      </c>
      <c r="X62" s="55">
        <v>31.0002</v>
      </c>
      <c r="Y62" s="55">
        <v>29.6657</v>
      </c>
    </row>
    <row r="63">
      <c r="A63" s="67">
        <v>9.0</v>
      </c>
      <c r="B63" s="17" t="s">
        <v>432</v>
      </c>
      <c r="C63" s="17" t="s">
        <v>432</v>
      </c>
      <c r="D63" s="82">
        <f t="shared" si="3"/>
        <v>28</v>
      </c>
      <c r="E63" s="38">
        <v>0.0</v>
      </c>
      <c r="F63" s="38">
        <v>0.2224</v>
      </c>
      <c r="G63" s="38">
        <v>0.1857</v>
      </c>
      <c r="H63" s="38">
        <v>0.1616</v>
      </c>
      <c r="I63" s="39">
        <v>0.0288</v>
      </c>
      <c r="J63" s="39">
        <v>1.7803</v>
      </c>
      <c r="K63" s="39">
        <v>2.124</v>
      </c>
      <c r="L63" s="39">
        <v>3.0127</v>
      </c>
      <c r="N63" s="67">
        <v>9.0</v>
      </c>
      <c r="O63" s="17" t="s">
        <v>432</v>
      </c>
      <c r="P63" s="17" t="s">
        <v>432</v>
      </c>
      <c r="Q63" s="16">
        <f t="shared" si="4"/>
        <v>28</v>
      </c>
      <c r="R63" s="54">
        <v>0.073986</v>
      </c>
      <c r="S63" s="54">
        <v>0.0</v>
      </c>
      <c r="T63" s="54">
        <v>0.0</v>
      </c>
      <c r="U63" s="54">
        <v>0.0</v>
      </c>
      <c r="V63" s="54">
        <v>30.0413</v>
      </c>
      <c r="W63" s="55">
        <v>3.221</v>
      </c>
      <c r="X63" s="55">
        <v>3.5441</v>
      </c>
      <c r="Y63" s="55">
        <v>12.3159</v>
      </c>
    </row>
    <row r="64">
      <c r="A64" s="67">
        <v>10.0</v>
      </c>
      <c r="B64" s="17" t="s">
        <v>432</v>
      </c>
      <c r="C64" s="17" t="s">
        <v>441</v>
      </c>
      <c r="D64" s="82">
        <f t="shared" si="3"/>
        <v>28</v>
      </c>
      <c r="E64" s="38">
        <v>0.0</v>
      </c>
      <c r="F64" s="38">
        <v>0.1603</v>
      </c>
      <c r="G64" s="38">
        <v>0.2576</v>
      </c>
      <c r="H64" s="38">
        <v>0.2785</v>
      </c>
      <c r="I64" s="39">
        <v>0.2619</v>
      </c>
      <c r="J64" s="39">
        <v>1.9461</v>
      </c>
      <c r="K64" s="39">
        <v>1.9968</v>
      </c>
      <c r="L64" s="39">
        <v>2.8672</v>
      </c>
      <c r="N64" s="67">
        <v>10.0</v>
      </c>
      <c r="O64" s="17" t="s">
        <v>432</v>
      </c>
      <c r="P64" s="17" t="s">
        <v>441</v>
      </c>
      <c r="Q64" s="16">
        <f t="shared" si="4"/>
        <v>28</v>
      </c>
      <c r="R64" s="54">
        <v>0.062149</v>
      </c>
      <c r="S64" s="54">
        <v>0.0</v>
      </c>
      <c r="T64" s="54">
        <v>0.0</v>
      </c>
      <c r="U64" s="54">
        <v>0.0</v>
      </c>
      <c r="V64" s="54">
        <v>30.0656</v>
      </c>
      <c r="W64" s="55">
        <v>10.5549</v>
      </c>
      <c r="X64" s="55">
        <v>16.3117</v>
      </c>
      <c r="Y64" s="55">
        <v>19.9534</v>
      </c>
    </row>
    <row r="65">
      <c r="A65" s="67">
        <v>11.0</v>
      </c>
      <c r="B65" s="17" t="s">
        <v>432</v>
      </c>
      <c r="C65" s="17" t="s">
        <v>450</v>
      </c>
      <c r="D65" s="82">
        <f t="shared" si="3"/>
        <v>27</v>
      </c>
      <c r="E65" s="38">
        <v>0.0</v>
      </c>
      <c r="F65" s="38">
        <v>0.2504</v>
      </c>
      <c r="G65" s="38">
        <v>0.2766</v>
      </c>
      <c r="H65" s="38">
        <v>0.2633</v>
      </c>
      <c r="I65" s="39">
        <v>0.2191</v>
      </c>
      <c r="J65" s="39">
        <v>1.4065</v>
      </c>
      <c r="K65" s="39">
        <v>1.6536</v>
      </c>
      <c r="L65" s="39">
        <v>2.3647</v>
      </c>
      <c r="N65" s="67">
        <v>11.0</v>
      </c>
      <c r="O65" s="17" t="s">
        <v>432</v>
      </c>
      <c r="P65" s="17" t="s">
        <v>450</v>
      </c>
      <c r="Q65" s="16">
        <f t="shared" si="4"/>
        <v>27</v>
      </c>
      <c r="R65" s="54">
        <v>0.072627</v>
      </c>
      <c r="S65" s="54">
        <v>0.0</v>
      </c>
      <c r="T65" s="54">
        <v>0.0</v>
      </c>
      <c r="U65" s="54">
        <v>0.003366</v>
      </c>
      <c r="V65" s="54">
        <v>30.0569</v>
      </c>
      <c r="W65" s="55">
        <v>5.828</v>
      </c>
      <c r="X65" s="55">
        <v>9.2732</v>
      </c>
      <c r="Y65" s="55">
        <v>12.8843</v>
      </c>
    </row>
    <row r="66">
      <c r="A66" s="67">
        <v>12.0</v>
      </c>
      <c r="B66" s="17" t="s">
        <v>432</v>
      </c>
      <c r="C66" s="17" t="s">
        <v>459</v>
      </c>
      <c r="D66" s="82">
        <f t="shared" si="3"/>
        <v>24</v>
      </c>
      <c r="E66" s="38">
        <v>0.0017</v>
      </c>
      <c r="F66" s="38">
        <v>0.0632</v>
      </c>
      <c r="G66" s="38">
        <v>0.0623</v>
      </c>
      <c r="H66" s="38">
        <v>0.0704</v>
      </c>
      <c r="I66" s="39">
        <v>2.0416</v>
      </c>
      <c r="J66" s="39">
        <v>0.9189</v>
      </c>
      <c r="K66" s="39">
        <v>1.1561</v>
      </c>
      <c r="L66" s="39">
        <v>1.6948</v>
      </c>
      <c r="N66" s="67">
        <v>12.0</v>
      </c>
      <c r="O66" s="17" t="s">
        <v>432</v>
      </c>
      <c r="P66" s="17" t="s">
        <v>459</v>
      </c>
      <c r="Q66" s="16">
        <f t="shared" si="4"/>
        <v>24</v>
      </c>
      <c r="R66" s="54">
        <v>7.61E-4</v>
      </c>
      <c r="S66" s="54">
        <v>0.001555</v>
      </c>
      <c r="T66" s="54">
        <v>0.003028</v>
      </c>
      <c r="U66" s="54">
        <v>0.010463</v>
      </c>
      <c r="V66" s="54">
        <v>7.8791</v>
      </c>
      <c r="W66" s="55">
        <v>10.6022</v>
      </c>
      <c r="X66" s="55">
        <v>22.6167</v>
      </c>
      <c r="Y66" s="55">
        <v>30.1592</v>
      </c>
    </row>
    <row r="67">
      <c r="A67" s="67">
        <v>13.0</v>
      </c>
      <c r="B67" s="17" t="s">
        <v>432</v>
      </c>
      <c r="C67" s="17" t="s">
        <v>468</v>
      </c>
      <c r="D67" s="82">
        <f t="shared" si="3"/>
        <v>22</v>
      </c>
      <c r="E67" s="38">
        <v>0.0044</v>
      </c>
      <c r="F67" s="38">
        <v>0.0864</v>
      </c>
      <c r="G67" s="38">
        <v>0.0924</v>
      </c>
      <c r="H67" s="38">
        <v>0.0902</v>
      </c>
      <c r="I67" s="39">
        <v>1.7495</v>
      </c>
      <c r="J67" s="39">
        <v>0.7</v>
      </c>
      <c r="K67" s="39">
        <v>0.7061</v>
      </c>
      <c r="L67" s="39">
        <v>1.2706</v>
      </c>
      <c r="N67" s="67">
        <v>13.0</v>
      </c>
      <c r="O67" s="17" t="s">
        <v>432</v>
      </c>
      <c r="P67" s="17" t="s">
        <v>468</v>
      </c>
      <c r="Q67" s="16">
        <f t="shared" si="4"/>
        <v>22</v>
      </c>
      <c r="R67" s="54">
        <v>1.0E-4</v>
      </c>
      <c r="S67" s="54">
        <v>4.36E-4</v>
      </c>
      <c r="T67" s="54">
        <v>8.45E-4</v>
      </c>
      <c r="U67" s="54">
        <v>0.001373</v>
      </c>
      <c r="V67" s="54">
        <v>1.8078</v>
      </c>
      <c r="W67" s="55">
        <v>1.9866</v>
      </c>
      <c r="X67" s="55">
        <v>2.4655</v>
      </c>
      <c r="Y67" s="55">
        <v>3.166</v>
      </c>
    </row>
    <row r="68">
      <c r="A68" s="67">
        <v>14.0</v>
      </c>
      <c r="B68" s="17" t="s">
        <v>432</v>
      </c>
      <c r="C68" s="17" t="s">
        <v>477</v>
      </c>
      <c r="D68" s="82">
        <f t="shared" si="3"/>
        <v>21</v>
      </c>
      <c r="E68" s="38">
        <v>0.0072</v>
      </c>
      <c r="F68" s="38">
        <v>0.06</v>
      </c>
      <c r="G68" s="38">
        <v>0.0621</v>
      </c>
      <c r="H68" s="38">
        <v>0.0867</v>
      </c>
      <c r="I68" s="39">
        <v>1.9899</v>
      </c>
      <c r="J68" s="39">
        <v>0.6317</v>
      </c>
      <c r="K68" s="39">
        <v>0.7834</v>
      </c>
      <c r="L68" s="39">
        <v>1.2171</v>
      </c>
      <c r="N68" s="67">
        <v>14.0</v>
      </c>
      <c r="O68" s="17" t="s">
        <v>432</v>
      </c>
      <c r="P68" s="17" t="s">
        <v>477</v>
      </c>
      <c r="Q68" s="16">
        <f t="shared" si="4"/>
        <v>21</v>
      </c>
      <c r="R68" s="54">
        <v>2.01E-4</v>
      </c>
      <c r="S68" s="54">
        <v>4.77E-4</v>
      </c>
      <c r="T68" s="54">
        <v>0.001082</v>
      </c>
      <c r="U68" s="54">
        <v>0.001699</v>
      </c>
      <c r="V68" s="54">
        <v>0.9033</v>
      </c>
      <c r="W68" s="55">
        <v>0.8622</v>
      </c>
      <c r="X68" s="55">
        <v>1.0609</v>
      </c>
      <c r="Y68" s="55">
        <v>1.3456</v>
      </c>
    </row>
    <row r="69">
      <c r="A69" s="67">
        <v>15.0</v>
      </c>
      <c r="B69" s="17" t="s">
        <v>441</v>
      </c>
      <c r="C69" s="17" t="s">
        <v>423</v>
      </c>
      <c r="D69" s="82">
        <f t="shared" si="3"/>
        <v>29</v>
      </c>
      <c r="E69" s="38">
        <v>0.0</v>
      </c>
      <c r="F69" s="38">
        <v>0.1344</v>
      </c>
      <c r="G69" s="38">
        <v>0.2191</v>
      </c>
      <c r="H69" s="38">
        <v>0.2035</v>
      </c>
      <c r="I69" s="39">
        <v>0.0403</v>
      </c>
      <c r="J69" s="39">
        <v>3.4059</v>
      </c>
      <c r="K69" s="39">
        <v>3.5267</v>
      </c>
      <c r="L69" s="39">
        <v>4.4814</v>
      </c>
      <c r="N69" s="67">
        <v>15.0</v>
      </c>
      <c r="O69" s="17" t="s">
        <v>441</v>
      </c>
      <c r="P69" s="17" t="s">
        <v>423</v>
      </c>
      <c r="Q69" s="16">
        <f t="shared" si="4"/>
        <v>29</v>
      </c>
      <c r="R69" s="54">
        <v>0.065417</v>
      </c>
      <c r="S69" s="54">
        <v>0.0</v>
      </c>
      <c r="T69" s="54">
        <v>0.0</v>
      </c>
      <c r="U69" s="54">
        <v>0.0</v>
      </c>
      <c r="V69" s="54">
        <v>30.0091</v>
      </c>
      <c r="W69" s="55">
        <v>6.3896</v>
      </c>
      <c r="X69" s="55">
        <v>12.6413</v>
      </c>
      <c r="Y69" s="55">
        <v>11.1482</v>
      </c>
    </row>
    <row r="70">
      <c r="A70" s="67">
        <v>16.0</v>
      </c>
      <c r="B70" s="17" t="s">
        <v>441</v>
      </c>
      <c r="C70" s="17" t="s">
        <v>432</v>
      </c>
      <c r="D70" s="82">
        <f t="shared" si="3"/>
        <v>28</v>
      </c>
      <c r="E70" s="38">
        <v>0.0</v>
      </c>
      <c r="F70" s="38">
        <v>0.1362</v>
      </c>
      <c r="G70" s="38">
        <v>0.2134</v>
      </c>
      <c r="H70" s="38">
        <v>0.1619</v>
      </c>
      <c r="I70" s="39">
        <v>0.0237</v>
      </c>
      <c r="J70" s="39">
        <v>1.9244</v>
      </c>
      <c r="K70" s="39">
        <v>2.1356</v>
      </c>
      <c r="L70" s="39">
        <v>3.0557</v>
      </c>
      <c r="N70" s="67">
        <v>16.0</v>
      </c>
      <c r="O70" s="17" t="s">
        <v>441</v>
      </c>
      <c r="P70" s="17" t="s">
        <v>432</v>
      </c>
      <c r="Q70" s="16">
        <f t="shared" si="4"/>
        <v>28</v>
      </c>
      <c r="R70" s="54">
        <v>0.073202</v>
      </c>
      <c r="S70" s="54">
        <v>0.0</v>
      </c>
      <c r="T70" s="54">
        <v>0.0</v>
      </c>
      <c r="U70" s="54">
        <v>0.0</v>
      </c>
      <c r="V70" s="54">
        <v>30.0674</v>
      </c>
      <c r="W70" s="55">
        <v>11.9796</v>
      </c>
      <c r="X70" s="55">
        <v>13.2469</v>
      </c>
      <c r="Y70" s="55">
        <v>21.6287</v>
      </c>
    </row>
    <row r="71">
      <c r="A71" s="67">
        <v>17.0</v>
      </c>
      <c r="B71" s="17" t="s">
        <v>441</v>
      </c>
      <c r="C71" s="17" t="s">
        <v>441</v>
      </c>
      <c r="D71" s="82">
        <f t="shared" si="3"/>
        <v>28</v>
      </c>
      <c r="E71" s="38">
        <v>0.0</v>
      </c>
      <c r="F71" s="38">
        <v>0.247</v>
      </c>
      <c r="G71" s="38">
        <v>0.2611</v>
      </c>
      <c r="H71" s="38">
        <v>0.2871</v>
      </c>
      <c r="I71" s="39">
        <v>0.7208</v>
      </c>
      <c r="J71" s="39">
        <v>1.9351</v>
      </c>
      <c r="K71" s="39">
        <v>2.0535</v>
      </c>
      <c r="L71" s="39">
        <v>2.7879</v>
      </c>
      <c r="N71" s="67">
        <v>17.0</v>
      </c>
      <c r="O71" s="17" t="s">
        <v>441</v>
      </c>
      <c r="P71" s="17" t="s">
        <v>441</v>
      </c>
      <c r="Q71" s="16">
        <f t="shared" si="4"/>
        <v>28</v>
      </c>
      <c r="R71" s="54">
        <v>0.060235</v>
      </c>
      <c r="S71" s="54">
        <v>0.0</v>
      </c>
      <c r="T71" s="54">
        <v>0.0</v>
      </c>
      <c r="U71" s="54">
        <v>0.0</v>
      </c>
      <c r="V71" s="54">
        <v>30.0666</v>
      </c>
      <c r="W71" s="55">
        <v>10.6329</v>
      </c>
      <c r="X71" s="55">
        <v>15.3639</v>
      </c>
      <c r="Y71" s="55">
        <v>20.7086</v>
      </c>
    </row>
    <row r="72">
      <c r="A72" s="67">
        <v>18.0</v>
      </c>
      <c r="B72" s="17" t="s">
        <v>441</v>
      </c>
      <c r="C72" s="17" t="s">
        <v>450</v>
      </c>
      <c r="D72" s="82">
        <f t="shared" si="3"/>
        <v>27</v>
      </c>
      <c r="E72" s="38">
        <v>0.0</v>
      </c>
      <c r="F72" s="38">
        <v>0.2576</v>
      </c>
      <c r="G72" s="38">
        <v>0.2565</v>
      </c>
      <c r="H72" s="38">
        <v>0.3065</v>
      </c>
      <c r="I72" s="39">
        <v>0.2565</v>
      </c>
      <c r="J72" s="39">
        <v>1.395</v>
      </c>
      <c r="K72" s="39">
        <v>1.5596</v>
      </c>
      <c r="L72" s="39">
        <v>2.2278</v>
      </c>
      <c r="N72" s="67">
        <v>18.0</v>
      </c>
      <c r="O72" s="17" t="s">
        <v>441</v>
      </c>
      <c r="P72" s="17" t="s">
        <v>450</v>
      </c>
      <c r="Q72" s="16">
        <f t="shared" si="4"/>
        <v>27</v>
      </c>
      <c r="R72" s="54">
        <v>0.071084</v>
      </c>
      <c r="S72" s="54">
        <v>0.0</v>
      </c>
      <c r="T72" s="54">
        <v>0.0</v>
      </c>
      <c r="U72" s="54">
        <v>0.001563</v>
      </c>
      <c r="V72" s="54">
        <v>30.0729</v>
      </c>
      <c r="W72" s="55">
        <v>6.078</v>
      </c>
      <c r="X72" s="55">
        <v>8.1607</v>
      </c>
      <c r="Y72" s="55">
        <v>16.9804</v>
      </c>
    </row>
    <row r="73">
      <c r="A73" s="67">
        <v>19.0</v>
      </c>
      <c r="B73" s="17" t="s">
        <v>441</v>
      </c>
      <c r="C73" s="17" t="s">
        <v>459</v>
      </c>
      <c r="D73" s="82">
        <f t="shared" si="3"/>
        <v>24</v>
      </c>
      <c r="E73" s="38">
        <v>0.0013</v>
      </c>
      <c r="F73" s="38">
        <v>0.0344</v>
      </c>
      <c r="G73" s="38">
        <v>0.0634</v>
      </c>
      <c r="H73" s="38">
        <v>0.0584</v>
      </c>
      <c r="I73" s="39">
        <v>1.8515</v>
      </c>
      <c r="J73" s="39">
        <v>0.8403</v>
      </c>
      <c r="K73" s="39">
        <v>1.0866</v>
      </c>
      <c r="L73" s="39">
        <v>1.672</v>
      </c>
      <c r="N73" s="67">
        <v>19.0</v>
      </c>
      <c r="O73" s="17" t="s">
        <v>441</v>
      </c>
      <c r="P73" s="17" t="s">
        <v>459</v>
      </c>
      <c r="Q73" s="16">
        <f t="shared" si="4"/>
        <v>24</v>
      </c>
      <c r="R73" s="54">
        <v>7.61E-4</v>
      </c>
      <c r="S73" s="54">
        <v>0.001555</v>
      </c>
      <c r="T73" s="54">
        <v>0.003028</v>
      </c>
      <c r="U73" s="54">
        <v>0.009332</v>
      </c>
      <c r="V73" s="54">
        <v>7.6789</v>
      </c>
      <c r="W73" s="55">
        <v>10.2119</v>
      </c>
      <c r="X73" s="55">
        <v>22.4894</v>
      </c>
      <c r="Y73" s="55">
        <v>30.1106</v>
      </c>
    </row>
    <row r="74">
      <c r="A74" s="67">
        <v>20.0</v>
      </c>
      <c r="B74" s="17" t="s">
        <v>441</v>
      </c>
      <c r="C74" s="17" t="s">
        <v>468</v>
      </c>
      <c r="D74" s="82">
        <f t="shared" si="3"/>
        <v>22</v>
      </c>
      <c r="E74" s="38">
        <v>0.0044</v>
      </c>
      <c r="F74" s="38">
        <v>0.0803</v>
      </c>
      <c r="G74" s="38">
        <v>0.0833</v>
      </c>
      <c r="H74" s="38">
        <v>0.0907</v>
      </c>
      <c r="I74" s="39">
        <v>1.7955</v>
      </c>
      <c r="J74" s="39">
        <v>0.6388</v>
      </c>
      <c r="K74" s="39">
        <v>0.8366</v>
      </c>
      <c r="L74" s="39">
        <v>1.0195</v>
      </c>
      <c r="N74" s="67">
        <v>20.0</v>
      </c>
      <c r="O74" s="17" t="s">
        <v>441</v>
      </c>
      <c r="P74" s="17" t="s">
        <v>468</v>
      </c>
      <c r="Q74" s="16">
        <f t="shared" si="4"/>
        <v>22</v>
      </c>
      <c r="R74" s="54">
        <v>1.0E-4</v>
      </c>
      <c r="S74" s="54">
        <v>4.36E-4</v>
      </c>
      <c r="T74" s="54">
        <v>7.75E-4</v>
      </c>
      <c r="U74" s="54">
        <v>0.001184</v>
      </c>
      <c r="V74" s="54">
        <v>1.67</v>
      </c>
      <c r="W74" s="55">
        <v>2.0723</v>
      </c>
      <c r="X74" s="55">
        <v>2.5582</v>
      </c>
      <c r="Y74" s="55">
        <v>3.5834</v>
      </c>
    </row>
    <row r="75">
      <c r="A75" s="67">
        <v>21.0</v>
      </c>
      <c r="B75" s="17" t="s">
        <v>441</v>
      </c>
      <c r="C75" s="17" t="s">
        <v>477</v>
      </c>
      <c r="D75" s="82">
        <f t="shared" si="3"/>
        <v>21</v>
      </c>
      <c r="E75" s="38">
        <v>0.0072</v>
      </c>
      <c r="F75" s="38">
        <v>0.0615</v>
      </c>
      <c r="G75" s="38">
        <v>0.0729</v>
      </c>
      <c r="H75" s="38">
        <v>0.0917</v>
      </c>
      <c r="I75" s="39">
        <v>2.0235</v>
      </c>
      <c r="J75" s="39">
        <v>0.6089</v>
      </c>
      <c r="K75" s="39">
        <v>0.7918</v>
      </c>
      <c r="L75" s="39">
        <v>1.1591</v>
      </c>
      <c r="N75" s="67">
        <v>21.0</v>
      </c>
      <c r="O75" s="17" t="s">
        <v>441</v>
      </c>
      <c r="P75" s="17" t="s">
        <v>477</v>
      </c>
      <c r="Q75" s="16">
        <f t="shared" si="4"/>
        <v>21</v>
      </c>
      <c r="R75" s="54">
        <v>2.01E-4</v>
      </c>
      <c r="S75" s="54">
        <v>4.77E-4</v>
      </c>
      <c r="T75" s="54">
        <v>0.001082</v>
      </c>
      <c r="U75" s="54">
        <v>0.001699</v>
      </c>
      <c r="V75" s="54">
        <v>0.9274</v>
      </c>
      <c r="W75" s="55">
        <v>0.879</v>
      </c>
      <c r="X75" s="55">
        <v>1.1063</v>
      </c>
      <c r="Y75" s="55">
        <v>1.2936</v>
      </c>
    </row>
    <row r="76">
      <c r="A76" s="67">
        <v>22.0</v>
      </c>
      <c r="B76" s="17" t="s">
        <v>450</v>
      </c>
      <c r="C76" s="17" t="s">
        <v>423</v>
      </c>
      <c r="D76" s="82">
        <f t="shared" si="3"/>
        <v>28</v>
      </c>
      <c r="E76" s="38">
        <v>0.0</v>
      </c>
      <c r="F76" s="38">
        <v>0.1258</v>
      </c>
      <c r="G76" s="38">
        <v>0.1803</v>
      </c>
      <c r="H76" s="38">
        <v>0.1986</v>
      </c>
      <c r="I76" s="39">
        <v>0.0344</v>
      </c>
      <c r="J76" s="39">
        <v>3.0773</v>
      </c>
      <c r="K76" s="39">
        <v>3.2603</v>
      </c>
      <c r="L76" s="39">
        <v>3.7843</v>
      </c>
      <c r="N76" s="67">
        <v>22.0</v>
      </c>
      <c r="O76" s="17" t="s">
        <v>450</v>
      </c>
      <c r="P76" s="17" t="s">
        <v>423</v>
      </c>
      <c r="Q76" s="16">
        <f t="shared" si="4"/>
        <v>28</v>
      </c>
      <c r="R76" s="54">
        <v>0.061487</v>
      </c>
      <c r="S76" s="54">
        <v>0.0</v>
      </c>
      <c r="T76" s="54">
        <v>0.0</v>
      </c>
      <c r="U76" s="54">
        <v>0.004015</v>
      </c>
      <c r="V76" s="54">
        <v>30.0302</v>
      </c>
      <c r="W76" s="55">
        <v>21.3896</v>
      </c>
      <c r="X76" s="55">
        <v>28.006</v>
      </c>
      <c r="Y76" s="55">
        <v>30.2631</v>
      </c>
    </row>
    <row r="77">
      <c r="A77" s="67">
        <v>23.0</v>
      </c>
      <c r="B77" s="17" t="s">
        <v>450</v>
      </c>
      <c r="C77" s="17" t="s">
        <v>432</v>
      </c>
      <c r="D77" s="82">
        <f t="shared" si="3"/>
        <v>27</v>
      </c>
      <c r="E77" s="38">
        <v>0.0</v>
      </c>
      <c r="F77" s="38">
        <v>0.1996</v>
      </c>
      <c r="G77" s="38">
        <v>0.2129</v>
      </c>
      <c r="H77" s="38">
        <v>0.1599</v>
      </c>
      <c r="I77" s="39">
        <v>0.0245</v>
      </c>
      <c r="J77" s="39">
        <v>1.5558</v>
      </c>
      <c r="K77" s="39">
        <v>1.8435</v>
      </c>
      <c r="L77" s="39">
        <v>2.6588</v>
      </c>
      <c r="N77" s="67">
        <v>23.0</v>
      </c>
      <c r="O77" s="17" t="s">
        <v>450</v>
      </c>
      <c r="P77" s="17" t="s">
        <v>432</v>
      </c>
      <c r="Q77" s="16">
        <f t="shared" si="4"/>
        <v>27</v>
      </c>
      <c r="R77" s="54">
        <v>0.068059</v>
      </c>
      <c r="S77" s="54">
        <v>0.0</v>
      </c>
      <c r="T77" s="54">
        <v>0.0</v>
      </c>
      <c r="U77" s="54">
        <v>0.0</v>
      </c>
      <c r="V77" s="54">
        <v>30.0659</v>
      </c>
      <c r="W77" s="55">
        <v>9.6819</v>
      </c>
      <c r="X77" s="55">
        <v>14.985</v>
      </c>
      <c r="Y77" s="55">
        <v>19.1958</v>
      </c>
    </row>
    <row r="78">
      <c r="A78" s="67">
        <v>24.0</v>
      </c>
      <c r="B78" s="17" t="s">
        <v>450</v>
      </c>
      <c r="C78" s="17" t="s">
        <v>441</v>
      </c>
      <c r="D78" s="82">
        <f t="shared" si="3"/>
        <v>27</v>
      </c>
      <c r="E78" s="38">
        <v>0.0</v>
      </c>
      <c r="F78" s="38">
        <v>0.1711</v>
      </c>
      <c r="G78" s="38">
        <v>0.2543</v>
      </c>
      <c r="H78" s="38">
        <v>0.2547</v>
      </c>
      <c r="I78" s="39">
        <v>0.6619</v>
      </c>
      <c r="J78" s="39">
        <v>1.6924</v>
      </c>
      <c r="K78" s="39">
        <v>1.8161</v>
      </c>
      <c r="L78" s="39">
        <v>2.489</v>
      </c>
      <c r="N78" s="67">
        <v>24.0</v>
      </c>
      <c r="O78" s="17" t="s">
        <v>450</v>
      </c>
      <c r="P78" s="17" t="s">
        <v>441</v>
      </c>
      <c r="Q78" s="16">
        <f t="shared" si="4"/>
        <v>27</v>
      </c>
      <c r="R78" s="54">
        <v>0.065485</v>
      </c>
      <c r="S78" s="54">
        <v>0.0</v>
      </c>
      <c r="T78" s="54">
        <v>0.0</v>
      </c>
      <c r="U78" s="54">
        <v>0.0</v>
      </c>
      <c r="V78" s="54">
        <v>30.0674</v>
      </c>
      <c r="W78" s="55">
        <v>9.5221</v>
      </c>
      <c r="X78" s="55">
        <v>12.973</v>
      </c>
      <c r="Y78" s="55">
        <v>18.3589</v>
      </c>
    </row>
    <row r="79">
      <c r="A79" s="67">
        <v>25.0</v>
      </c>
      <c r="B79" s="17" t="s">
        <v>450</v>
      </c>
      <c r="C79" s="17" t="s">
        <v>450</v>
      </c>
      <c r="D79" s="82">
        <f t="shared" si="3"/>
        <v>26</v>
      </c>
      <c r="E79" s="38">
        <v>0.0</v>
      </c>
      <c r="F79" s="38">
        <v>0.165</v>
      </c>
      <c r="G79" s="38">
        <v>0.2383</v>
      </c>
      <c r="H79" s="38">
        <v>0.2826</v>
      </c>
      <c r="I79" s="39">
        <v>0.1681</v>
      </c>
      <c r="J79" s="39">
        <v>1.4017</v>
      </c>
      <c r="K79" s="39">
        <v>1.4765</v>
      </c>
      <c r="L79" s="39">
        <v>2.0553</v>
      </c>
      <c r="N79" s="67">
        <v>25.0</v>
      </c>
      <c r="O79" s="17" t="s">
        <v>450</v>
      </c>
      <c r="P79" s="17" t="s">
        <v>450</v>
      </c>
      <c r="Q79" s="16">
        <f t="shared" si="4"/>
        <v>26</v>
      </c>
      <c r="R79" s="54">
        <v>0.066749</v>
      </c>
      <c r="S79" s="54">
        <v>0.0</v>
      </c>
      <c r="T79" s="54">
        <v>0.0</v>
      </c>
      <c r="U79" s="54">
        <v>0.0</v>
      </c>
      <c r="V79" s="54">
        <v>30.0419</v>
      </c>
      <c r="W79" s="55">
        <v>6.6054</v>
      </c>
      <c r="X79" s="55">
        <v>8.218</v>
      </c>
      <c r="Y79" s="55">
        <v>13.1419</v>
      </c>
    </row>
    <row r="80">
      <c r="A80" s="67">
        <v>26.0</v>
      </c>
      <c r="B80" s="17" t="s">
        <v>450</v>
      </c>
      <c r="C80" s="17" t="s">
        <v>459</v>
      </c>
      <c r="D80" s="82">
        <f t="shared" si="3"/>
        <v>23</v>
      </c>
      <c r="E80" s="38">
        <v>0.0017</v>
      </c>
      <c r="F80" s="38">
        <v>0.0344</v>
      </c>
      <c r="G80" s="38">
        <v>0.0675</v>
      </c>
      <c r="H80" s="38">
        <v>0.0687</v>
      </c>
      <c r="I80" s="39">
        <v>1.7792</v>
      </c>
      <c r="J80" s="39">
        <v>0.7058</v>
      </c>
      <c r="K80" s="39">
        <v>1.0245</v>
      </c>
      <c r="L80" s="39">
        <v>1.4559</v>
      </c>
      <c r="N80" s="67">
        <v>26.0</v>
      </c>
      <c r="O80" s="17" t="s">
        <v>450</v>
      </c>
      <c r="P80" s="17" t="s">
        <v>459</v>
      </c>
      <c r="Q80" s="16">
        <f t="shared" si="4"/>
        <v>23</v>
      </c>
      <c r="R80" s="54">
        <v>7.61E-4</v>
      </c>
      <c r="S80" s="54">
        <v>0.001555</v>
      </c>
      <c r="T80" s="54">
        <v>0.003028</v>
      </c>
      <c r="U80" s="54">
        <v>0.006976</v>
      </c>
      <c r="V80" s="54">
        <v>5.7589</v>
      </c>
      <c r="W80" s="55">
        <v>3.5439</v>
      </c>
      <c r="X80" s="55">
        <v>17.4422</v>
      </c>
      <c r="Y80" s="55">
        <v>31.5764</v>
      </c>
    </row>
    <row r="81">
      <c r="A81" s="67">
        <v>27.0</v>
      </c>
      <c r="B81" s="17" t="s">
        <v>450</v>
      </c>
      <c r="C81" s="17" t="s">
        <v>468</v>
      </c>
      <c r="D81" s="82">
        <f t="shared" si="3"/>
        <v>21</v>
      </c>
      <c r="E81" s="38">
        <v>0.0044</v>
      </c>
      <c r="F81" s="38">
        <v>0.0786</v>
      </c>
      <c r="G81" s="38">
        <v>0.086</v>
      </c>
      <c r="H81" s="38">
        <v>0.0891</v>
      </c>
      <c r="I81" s="39">
        <v>1.5569</v>
      </c>
      <c r="J81" s="39">
        <v>0.5369</v>
      </c>
      <c r="K81" s="39">
        <v>0.6055</v>
      </c>
      <c r="L81" s="39">
        <v>0.8886</v>
      </c>
      <c r="N81" s="67">
        <v>27.0</v>
      </c>
      <c r="O81" s="17" t="s">
        <v>450</v>
      </c>
      <c r="P81" s="17" t="s">
        <v>468</v>
      </c>
      <c r="Q81" s="16">
        <f t="shared" si="4"/>
        <v>21</v>
      </c>
      <c r="R81" s="54">
        <v>1.0E-4</v>
      </c>
      <c r="S81" s="54">
        <v>4.36E-4</v>
      </c>
      <c r="T81" s="54">
        <v>8.45E-4</v>
      </c>
      <c r="U81" s="54">
        <v>0.001373</v>
      </c>
      <c r="V81" s="54">
        <v>1.9705</v>
      </c>
      <c r="W81" s="55">
        <v>2.0603</v>
      </c>
      <c r="X81" s="55">
        <v>2.7395</v>
      </c>
      <c r="Y81" s="55">
        <v>3.3712</v>
      </c>
    </row>
    <row r="82">
      <c r="A82" s="67">
        <v>28.0</v>
      </c>
      <c r="B82" s="17" t="s">
        <v>450</v>
      </c>
      <c r="C82" s="17" t="s">
        <v>477</v>
      </c>
      <c r="D82" s="82">
        <f t="shared" si="3"/>
        <v>20</v>
      </c>
      <c r="E82" s="38">
        <v>0.0072</v>
      </c>
      <c r="F82" s="38">
        <v>0.0571</v>
      </c>
      <c r="G82" s="38">
        <v>0.0762</v>
      </c>
      <c r="H82" s="38">
        <v>0.0835</v>
      </c>
      <c r="I82" s="39">
        <v>1.6511</v>
      </c>
      <c r="J82" s="39">
        <v>0.5871</v>
      </c>
      <c r="K82" s="39">
        <v>0.7031</v>
      </c>
      <c r="L82" s="39">
        <v>1.0495</v>
      </c>
      <c r="N82" s="67">
        <v>28.0</v>
      </c>
      <c r="O82" s="17" t="s">
        <v>450</v>
      </c>
      <c r="P82" s="17" t="s">
        <v>477</v>
      </c>
      <c r="Q82" s="16">
        <f t="shared" si="4"/>
        <v>20</v>
      </c>
      <c r="R82" s="54">
        <v>2.01E-4</v>
      </c>
      <c r="S82" s="54">
        <v>4.77E-4</v>
      </c>
      <c r="T82" s="54">
        <v>0.001082</v>
      </c>
      <c r="U82" s="54">
        <v>0.001699</v>
      </c>
      <c r="V82" s="54">
        <v>0.9119</v>
      </c>
      <c r="W82" s="55">
        <v>0.8702</v>
      </c>
      <c r="X82" s="55">
        <v>1.1455</v>
      </c>
      <c r="Y82" s="55">
        <v>1.345</v>
      </c>
    </row>
    <row r="83">
      <c r="A83" s="67">
        <v>29.0</v>
      </c>
      <c r="B83" s="17" t="s">
        <v>459</v>
      </c>
      <c r="C83" s="17" t="s">
        <v>423</v>
      </c>
      <c r="D83" s="82">
        <f t="shared" si="3"/>
        <v>25</v>
      </c>
      <c r="E83" s="38">
        <v>0.0</v>
      </c>
      <c r="F83" s="38">
        <v>0.1113</v>
      </c>
      <c r="G83" s="38">
        <v>0.1276</v>
      </c>
      <c r="H83" s="38">
        <v>0.1555</v>
      </c>
      <c r="I83" s="39">
        <v>0.0277</v>
      </c>
      <c r="J83" s="39">
        <v>2.6014</v>
      </c>
      <c r="K83" s="39">
        <v>2.5155</v>
      </c>
      <c r="L83" s="39">
        <v>2.8729</v>
      </c>
      <c r="N83" s="67">
        <v>29.0</v>
      </c>
      <c r="O83" s="17" t="s">
        <v>459</v>
      </c>
      <c r="P83" s="17" t="s">
        <v>423</v>
      </c>
      <c r="Q83" s="16">
        <f t="shared" si="4"/>
        <v>25</v>
      </c>
      <c r="R83" s="54">
        <v>0.05275</v>
      </c>
      <c r="S83" s="54">
        <v>0.0</v>
      </c>
      <c r="T83" s="54">
        <v>0.0</v>
      </c>
      <c r="U83" s="54">
        <v>0.0</v>
      </c>
      <c r="V83" s="54">
        <v>30.0509</v>
      </c>
      <c r="W83" s="55">
        <v>16.1645</v>
      </c>
      <c r="X83" s="55">
        <v>28.8158</v>
      </c>
      <c r="Y83" s="55">
        <v>30.0326</v>
      </c>
    </row>
    <row r="84">
      <c r="A84" s="67">
        <v>30.0</v>
      </c>
      <c r="B84" s="17" t="s">
        <v>459</v>
      </c>
      <c r="C84" s="17" t="s">
        <v>432</v>
      </c>
      <c r="D84" s="82">
        <f t="shared" si="3"/>
        <v>24</v>
      </c>
      <c r="E84" s="38">
        <v>0.0</v>
      </c>
      <c r="F84" s="38">
        <v>0.0844</v>
      </c>
      <c r="G84" s="38">
        <v>0.153</v>
      </c>
      <c r="H84" s="38">
        <v>0.1675</v>
      </c>
      <c r="I84" s="39">
        <v>0.0201</v>
      </c>
      <c r="J84" s="39">
        <v>1.3542</v>
      </c>
      <c r="K84" s="39">
        <v>1.3149</v>
      </c>
      <c r="L84" s="39">
        <v>1.7873</v>
      </c>
      <c r="N84" s="67">
        <v>30.0</v>
      </c>
      <c r="O84" s="17" t="s">
        <v>459</v>
      </c>
      <c r="P84" s="17" t="s">
        <v>432</v>
      </c>
      <c r="Q84" s="16">
        <f t="shared" si="4"/>
        <v>24</v>
      </c>
      <c r="R84" s="54">
        <v>0.055247</v>
      </c>
      <c r="S84" s="54">
        <v>0.0</v>
      </c>
      <c r="T84" s="54">
        <v>0.0</v>
      </c>
      <c r="U84" s="54">
        <v>0.0</v>
      </c>
      <c r="V84" s="54">
        <v>30.0425</v>
      </c>
      <c r="W84" s="55">
        <v>8.1879</v>
      </c>
      <c r="X84" s="55">
        <v>10.3397</v>
      </c>
      <c r="Y84" s="55">
        <v>17.601</v>
      </c>
    </row>
    <row r="85">
      <c r="A85" s="67">
        <v>31.0</v>
      </c>
      <c r="B85" s="17" t="s">
        <v>459</v>
      </c>
      <c r="C85" s="17" t="s">
        <v>441</v>
      </c>
      <c r="D85" s="82">
        <f t="shared" si="3"/>
        <v>24</v>
      </c>
      <c r="E85" s="38">
        <v>0.0</v>
      </c>
      <c r="F85" s="38">
        <v>0.0735</v>
      </c>
      <c r="G85" s="38">
        <v>0.1474</v>
      </c>
      <c r="H85" s="38">
        <v>0.1808</v>
      </c>
      <c r="I85" s="39">
        <v>0.191</v>
      </c>
      <c r="J85" s="39">
        <v>1.2864</v>
      </c>
      <c r="K85" s="39">
        <v>1.3674</v>
      </c>
      <c r="L85" s="39">
        <v>1.9564</v>
      </c>
      <c r="N85" s="67">
        <v>31.0</v>
      </c>
      <c r="O85" s="17" t="s">
        <v>459</v>
      </c>
      <c r="P85" s="17" t="s">
        <v>441</v>
      </c>
      <c r="Q85" s="16">
        <f t="shared" si="4"/>
        <v>24</v>
      </c>
      <c r="R85" s="54">
        <v>0.045235</v>
      </c>
      <c r="S85" s="54">
        <v>0.0</v>
      </c>
      <c r="T85" s="54">
        <v>0.0</v>
      </c>
      <c r="U85" s="54">
        <v>0.0</v>
      </c>
      <c r="V85" s="54">
        <v>30.023</v>
      </c>
      <c r="W85" s="55">
        <v>5.4082</v>
      </c>
      <c r="X85" s="55">
        <v>3.8915</v>
      </c>
      <c r="Y85" s="55">
        <v>10.3802</v>
      </c>
    </row>
    <row r="86">
      <c r="A86" s="67">
        <v>32.0</v>
      </c>
      <c r="B86" s="17" t="s">
        <v>459</v>
      </c>
      <c r="C86" s="17" t="s">
        <v>450</v>
      </c>
      <c r="D86" s="82">
        <f t="shared" si="3"/>
        <v>23</v>
      </c>
      <c r="E86" s="38">
        <v>0.0</v>
      </c>
      <c r="F86" s="38">
        <v>0.1403</v>
      </c>
      <c r="G86" s="38">
        <v>0.1229</v>
      </c>
      <c r="H86" s="38">
        <v>0.1882</v>
      </c>
      <c r="I86" s="39">
        <v>0.1528</v>
      </c>
      <c r="J86" s="39">
        <v>0.9167</v>
      </c>
      <c r="K86" s="39">
        <v>1.061</v>
      </c>
      <c r="L86" s="39">
        <v>1.6442</v>
      </c>
      <c r="N86" s="67">
        <v>32.0</v>
      </c>
      <c r="O86" s="17" t="s">
        <v>459</v>
      </c>
      <c r="P86" s="17" t="s">
        <v>450</v>
      </c>
      <c r="Q86" s="16">
        <f t="shared" si="4"/>
        <v>23</v>
      </c>
      <c r="R86" s="54">
        <v>0.051505</v>
      </c>
      <c r="S86" s="54">
        <v>0.0</v>
      </c>
      <c r="T86" s="54">
        <v>0.0</v>
      </c>
      <c r="U86" s="54">
        <v>9.77E-4</v>
      </c>
      <c r="V86" s="54">
        <v>30.0509</v>
      </c>
      <c r="W86" s="55">
        <v>4.8313</v>
      </c>
      <c r="X86" s="55">
        <v>6.2967</v>
      </c>
      <c r="Y86" s="55">
        <v>9.8968</v>
      </c>
    </row>
    <row r="87">
      <c r="A87" s="67">
        <v>33.0</v>
      </c>
      <c r="B87" s="17" t="s">
        <v>459</v>
      </c>
      <c r="C87" s="17" t="s">
        <v>459</v>
      </c>
      <c r="D87" s="82">
        <f t="shared" si="3"/>
        <v>20</v>
      </c>
      <c r="E87" s="38">
        <v>0.0017</v>
      </c>
      <c r="F87" s="38">
        <v>0.0245</v>
      </c>
      <c r="G87" s="38">
        <v>0.0173</v>
      </c>
      <c r="H87" s="38">
        <v>0.018</v>
      </c>
      <c r="I87" s="39">
        <v>1.082</v>
      </c>
      <c r="J87" s="39">
        <v>0.5325</v>
      </c>
      <c r="K87" s="39">
        <v>0.6735</v>
      </c>
      <c r="L87" s="39">
        <v>0.9999</v>
      </c>
      <c r="N87" s="67">
        <v>33.0</v>
      </c>
      <c r="O87" s="17" t="s">
        <v>459</v>
      </c>
      <c r="P87" s="17" t="s">
        <v>459</v>
      </c>
      <c r="Q87" s="16">
        <f t="shared" si="4"/>
        <v>20</v>
      </c>
      <c r="R87" s="54">
        <v>7.61E-4</v>
      </c>
      <c r="S87" s="54">
        <v>0.001555</v>
      </c>
      <c r="T87" s="54">
        <v>0.003394</v>
      </c>
      <c r="U87" s="54">
        <v>0.005827</v>
      </c>
      <c r="V87" s="54">
        <v>5.8032</v>
      </c>
      <c r="W87" s="55">
        <v>6.5833</v>
      </c>
      <c r="X87" s="55">
        <v>16.1302</v>
      </c>
      <c r="Y87" s="55">
        <v>20.9845</v>
      </c>
    </row>
    <row r="88">
      <c r="A88" s="67">
        <v>34.0</v>
      </c>
      <c r="B88" s="17" t="s">
        <v>459</v>
      </c>
      <c r="C88" s="17" t="s">
        <v>468</v>
      </c>
      <c r="D88" s="82">
        <f t="shared" si="3"/>
        <v>18</v>
      </c>
      <c r="E88" s="38">
        <v>0.0058</v>
      </c>
      <c r="F88" s="38">
        <v>0.0647</v>
      </c>
      <c r="G88" s="38">
        <v>0.0681</v>
      </c>
      <c r="H88" s="38">
        <v>0.0703</v>
      </c>
      <c r="I88" s="39">
        <v>0.8531</v>
      </c>
      <c r="J88" s="39">
        <v>0.2848</v>
      </c>
      <c r="K88" s="39">
        <v>0.304</v>
      </c>
      <c r="L88" s="39">
        <v>0.5572</v>
      </c>
      <c r="N88" s="67">
        <v>34.0</v>
      </c>
      <c r="O88" s="17" t="s">
        <v>459</v>
      </c>
      <c r="P88" s="17" t="s">
        <v>468</v>
      </c>
      <c r="Q88" s="16">
        <f t="shared" si="4"/>
        <v>18</v>
      </c>
      <c r="R88" s="54">
        <v>1.0E-4</v>
      </c>
      <c r="S88" s="54">
        <v>4.36E-4</v>
      </c>
      <c r="T88" s="54">
        <v>8.45E-4</v>
      </c>
      <c r="U88" s="54">
        <v>0.001414</v>
      </c>
      <c r="V88" s="54">
        <v>1.2968</v>
      </c>
      <c r="W88" s="55">
        <v>1.5768</v>
      </c>
      <c r="X88" s="55">
        <v>2.4305</v>
      </c>
      <c r="Y88" s="55">
        <v>2.9463</v>
      </c>
    </row>
    <row r="89">
      <c r="A89" s="67">
        <v>35.0</v>
      </c>
      <c r="B89" s="17" t="s">
        <v>459</v>
      </c>
      <c r="C89" s="17" t="s">
        <v>477</v>
      </c>
      <c r="D89" s="82">
        <f t="shared" si="3"/>
        <v>17</v>
      </c>
      <c r="E89" s="38">
        <v>0.0072</v>
      </c>
      <c r="F89" s="38">
        <v>0.0268</v>
      </c>
      <c r="G89" s="38">
        <v>0.0268</v>
      </c>
      <c r="H89" s="38">
        <v>0.0634</v>
      </c>
      <c r="I89" s="39">
        <v>0.7742</v>
      </c>
      <c r="J89" s="39">
        <v>0.3557</v>
      </c>
      <c r="K89" s="39">
        <v>0.4038</v>
      </c>
      <c r="L89" s="39">
        <v>0.6374</v>
      </c>
      <c r="N89" s="67">
        <v>35.0</v>
      </c>
      <c r="O89" s="17" t="s">
        <v>459</v>
      </c>
      <c r="P89" s="17" t="s">
        <v>477</v>
      </c>
      <c r="Q89" s="16">
        <f t="shared" si="4"/>
        <v>17</v>
      </c>
      <c r="R89" s="54">
        <v>2.76E-4</v>
      </c>
      <c r="S89" s="54">
        <v>8.93E-4</v>
      </c>
      <c r="T89" s="54">
        <v>0.001671</v>
      </c>
      <c r="U89" s="54">
        <v>0.002477</v>
      </c>
      <c r="V89" s="54">
        <v>0.7718</v>
      </c>
      <c r="W89" s="55">
        <v>0.8263</v>
      </c>
      <c r="X89" s="55">
        <v>0.8628</v>
      </c>
      <c r="Y89" s="55">
        <v>0.9458</v>
      </c>
    </row>
    <row r="90">
      <c r="A90" s="67">
        <v>36.0</v>
      </c>
      <c r="B90" s="17" t="s">
        <v>468</v>
      </c>
      <c r="C90" s="17" t="s">
        <v>423</v>
      </c>
      <c r="D90" s="82">
        <f t="shared" si="3"/>
        <v>23</v>
      </c>
      <c r="E90" s="38">
        <v>0.0</v>
      </c>
      <c r="F90" s="38">
        <v>0.022</v>
      </c>
      <c r="G90" s="38">
        <v>0.0904</v>
      </c>
      <c r="H90" s="38">
        <v>0.1438</v>
      </c>
      <c r="I90" s="39">
        <v>0.0348</v>
      </c>
      <c r="J90" s="39">
        <v>1.8829</v>
      </c>
      <c r="K90" s="39">
        <v>1.9209</v>
      </c>
      <c r="L90" s="39">
        <v>2.3385</v>
      </c>
      <c r="N90" s="67">
        <v>36.0</v>
      </c>
      <c r="O90" s="17" t="s">
        <v>468</v>
      </c>
      <c r="P90" s="17" t="s">
        <v>423</v>
      </c>
      <c r="Q90" s="16">
        <f t="shared" si="4"/>
        <v>23</v>
      </c>
      <c r="R90" s="54">
        <v>0.037038</v>
      </c>
      <c r="S90" s="54">
        <v>0.0</v>
      </c>
      <c r="T90" s="54">
        <v>0.0</v>
      </c>
      <c r="U90" s="54">
        <v>0.0</v>
      </c>
      <c r="V90" s="54">
        <v>30.0214</v>
      </c>
      <c r="W90" s="55">
        <v>13.7537</v>
      </c>
      <c r="X90" s="55">
        <v>19.9302</v>
      </c>
      <c r="Y90" s="55">
        <v>23.8291</v>
      </c>
    </row>
    <row r="91">
      <c r="A91" s="67">
        <v>37.0</v>
      </c>
      <c r="B91" s="17" t="s">
        <v>468</v>
      </c>
      <c r="C91" s="17" t="s">
        <v>432</v>
      </c>
      <c r="D91" s="82">
        <f t="shared" si="3"/>
        <v>22</v>
      </c>
      <c r="E91" s="38">
        <v>0.0</v>
      </c>
      <c r="F91" s="38">
        <v>0.1054</v>
      </c>
      <c r="G91" s="38">
        <v>0.1092</v>
      </c>
      <c r="H91" s="38">
        <v>0.1167</v>
      </c>
      <c r="I91" s="39">
        <v>0.0192</v>
      </c>
      <c r="J91" s="39">
        <v>0.8903</v>
      </c>
      <c r="K91" s="39">
        <v>1.0983</v>
      </c>
      <c r="L91" s="39">
        <v>1.3741</v>
      </c>
      <c r="N91" s="67">
        <v>37.0</v>
      </c>
      <c r="O91" s="17" t="s">
        <v>468</v>
      </c>
      <c r="P91" s="17" t="s">
        <v>432</v>
      </c>
      <c r="Q91" s="16">
        <f t="shared" si="4"/>
        <v>22</v>
      </c>
      <c r="R91" s="54">
        <v>0.045256</v>
      </c>
      <c r="S91" s="54">
        <v>0.0</v>
      </c>
      <c r="T91" s="54">
        <v>0.0</v>
      </c>
      <c r="U91" s="54">
        <v>0.0</v>
      </c>
      <c r="V91" s="54">
        <v>30.0332</v>
      </c>
      <c r="W91" s="55">
        <v>8.1529</v>
      </c>
      <c r="X91" s="55">
        <v>9.9082</v>
      </c>
      <c r="Y91" s="55">
        <v>13.526</v>
      </c>
    </row>
    <row r="92">
      <c r="A92" s="67">
        <v>38.0</v>
      </c>
      <c r="B92" s="17" t="s">
        <v>468</v>
      </c>
      <c r="C92" s="17" t="s">
        <v>441</v>
      </c>
      <c r="D92" s="82">
        <f t="shared" si="3"/>
        <v>22</v>
      </c>
      <c r="E92" s="38">
        <v>0.0</v>
      </c>
      <c r="F92" s="38">
        <v>0.0261</v>
      </c>
      <c r="G92" s="38">
        <v>0.1315</v>
      </c>
      <c r="H92" s="38">
        <v>0.1104</v>
      </c>
      <c r="I92" s="39">
        <v>0.152</v>
      </c>
      <c r="J92" s="39">
        <v>1.0592</v>
      </c>
      <c r="K92" s="39">
        <v>1.0556</v>
      </c>
      <c r="L92" s="39">
        <v>1.3124</v>
      </c>
      <c r="N92" s="67">
        <v>38.0</v>
      </c>
      <c r="O92" s="17" t="s">
        <v>468</v>
      </c>
      <c r="P92" s="17" t="s">
        <v>441</v>
      </c>
      <c r="Q92" s="16">
        <f t="shared" si="4"/>
        <v>22</v>
      </c>
      <c r="R92" s="54">
        <v>0.0434</v>
      </c>
      <c r="S92" s="54">
        <v>0.0</v>
      </c>
      <c r="T92" s="54">
        <v>0.0</v>
      </c>
      <c r="U92" s="54">
        <v>0.0</v>
      </c>
      <c r="V92" s="54">
        <v>30.0247</v>
      </c>
      <c r="W92" s="55">
        <v>7.2437</v>
      </c>
      <c r="X92" s="55">
        <v>9.1774</v>
      </c>
      <c r="Y92" s="55">
        <v>13.7865</v>
      </c>
    </row>
    <row r="93">
      <c r="A93" s="67">
        <v>39.0</v>
      </c>
      <c r="B93" s="17" t="s">
        <v>468</v>
      </c>
      <c r="C93" s="17" t="s">
        <v>450</v>
      </c>
      <c r="D93" s="82">
        <f t="shared" si="3"/>
        <v>21</v>
      </c>
      <c r="E93" s="38">
        <v>0.0</v>
      </c>
      <c r="F93" s="38">
        <v>0.0268</v>
      </c>
      <c r="G93" s="38">
        <v>0.1136</v>
      </c>
      <c r="H93" s="38">
        <v>0.1198</v>
      </c>
      <c r="I93" s="39">
        <v>0.4304</v>
      </c>
      <c r="J93" s="39">
        <v>0.7114</v>
      </c>
      <c r="K93" s="39">
        <v>0.8723</v>
      </c>
      <c r="L93" s="39">
        <v>1.1413</v>
      </c>
      <c r="N93" s="67">
        <v>39.0</v>
      </c>
      <c r="O93" s="17" t="s">
        <v>468</v>
      </c>
      <c r="P93" s="17" t="s">
        <v>450</v>
      </c>
      <c r="Q93" s="16">
        <f t="shared" si="4"/>
        <v>21</v>
      </c>
      <c r="R93" s="54">
        <v>0.040376</v>
      </c>
      <c r="S93" s="54">
        <v>0.0</v>
      </c>
      <c r="T93" s="54">
        <v>0.0</v>
      </c>
      <c r="U93" s="54">
        <v>0.0</v>
      </c>
      <c r="V93" s="54">
        <v>30.0552</v>
      </c>
      <c r="W93" s="55">
        <v>4.3971</v>
      </c>
      <c r="X93" s="55">
        <v>5.5363</v>
      </c>
      <c r="Y93" s="55">
        <v>9.9371</v>
      </c>
    </row>
    <row r="94">
      <c r="A94" s="67">
        <v>40.0</v>
      </c>
      <c r="B94" s="17" t="s">
        <v>468</v>
      </c>
      <c r="C94" s="17" t="s">
        <v>459</v>
      </c>
      <c r="D94" s="82">
        <f t="shared" si="3"/>
        <v>18</v>
      </c>
      <c r="E94" s="38">
        <v>0.0017</v>
      </c>
      <c r="F94" s="38">
        <v>0.0315</v>
      </c>
      <c r="G94" s="38">
        <v>0.0295</v>
      </c>
      <c r="H94" s="38">
        <v>0.0242</v>
      </c>
      <c r="I94" s="39">
        <v>0.7772</v>
      </c>
      <c r="J94" s="39">
        <v>0.364</v>
      </c>
      <c r="K94" s="39">
        <v>0.4657</v>
      </c>
      <c r="L94" s="39">
        <v>0.6435</v>
      </c>
      <c r="N94" s="67">
        <v>40.0</v>
      </c>
      <c r="O94" s="17" t="s">
        <v>468</v>
      </c>
      <c r="P94" s="17" t="s">
        <v>459</v>
      </c>
      <c r="Q94" s="16">
        <f t="shared" si="4"/>
        <v>18</v>
      </c>
      <c r="R94" s="54">
        <v>0.001511</v>
      </c>
      <c r="S94" s="54">
        <v>0.002078</v>
      </c>
      <c r="T94" s="54">
        <v>0.002078</v>
      </c>
      <c r="U94" s="54">
        <v>0.003174</v>
      </c>
      <c r="V94" s="54">
        <v>1.6337</v>
      </c>
      <c r="W94" s="55">
        <v>1.8577</v>
      </c>
      <c r="X94" s="55">
        <v>3.7237</v>
      </c>
      <c r="Y94" s="55">
        <v>5.5054</v>
      </c>
    </row>
    <row r="95">
      <c r="A95" s="67">
        <v>41.0</v>
      </c>
      <c r="B95" s="17" t="s">
        <v>468</v>
      </c>
      <c r="C95" s="17" t="s">
        <v>468</v>
      </c>
      <c r="D95" s="82">
        <f t="shared" si="3"/>
        <v>16</v>
      </c>
      <c r="E95" s="38">
        <v>0.0054</v>
      </c>
      <c r="F95" s="38">
        <v>0.016</v>
      </c>
      <c r="G95" s="38">
        <v>0.0334</v>
      </c>
      <c r="H95" s="38">
        <v>0.0475</v>
      </c>
      <c r="I95" s="39">
        <v>0.5141</v>
      </c>
      <c r="J95" s="39">
        <v>0.2973</v>
      </c>
      <c r="K95" s="39">
        <v>0.3489</v>
      </c>
      <c r="L95" s="39">
        <v>0.4699</v>
      </c>
      <c r="N95" s="67">
        <v>41.0</v>
      </c>
      <c r="O95" s="17" t="s">
        <v>468</v>
      </c>
      <c r="P95" s="17" t="s">
        <v>468</v>
      </c>
      <c r="Q95" s="16">
        <f t="shared" si="4"/>
        <v>16</v>
      </c>
      <c r="R95" s="54">
        <v>3.36E-4</v>
      </c>
      <c r="S95" s="54">
        <v>6.76E-4</v>
      </c>
      <c r="T95" s="54">
        <v>0.001235</v>
      </c>
      <c r="U95" s="54">
        <v>0.00166</v>
      </c>
      <c r="V95" s="54">
        <v>0.2559</v>
      </c>
      <c r="W95" s="55">
        <v>0.3147</v>
      </c>
      <c r="X95" s="55">
        <v>0.4907</v>
      </c>
      <c r="Y95" s="55">
        <v>0.5139</v>
      </c>
    </row>
    <row r="96">
      <c r="A96" s="67">
        <v>42.0</v>
      </c>
      <c r="B96" s="17" t="s">
        <v>468</v>
      </c>
      <c r="C96" s="17" t="s">
        <v>477</v>
      </c>
      <c r="D96" s="82">
        <f t="shared" si="3"/>
        <v>15</v>
      </c>
      <c r="E96" s="38">
        <v>0.0072</v>
      </c>
      <c r="F96" s="38">
        <v>0.0421</v>
      </c>
      <c r="G96" s="38">
        <v>0.0504</v>
      </c>
      <c r="H96" s="38">
        <v>0.0529</v>
      </c>
      <c r="I96" s="39">
        <v>0.4824</v>
      </c>
      <c r="J96" s="39">
        <v>0.2526</v>
      </c>
      <c r="K96" s="39">
        <v>0.2306</v>
      </c>
      <c r="L96" s="39">
        <v>0.3943</v>
      </c>
      <c r="N96" s="67">
        <v>42.0</v>
      </c>
      <c r="O96" s="17" t="s">
        <v>468</v>
      </c>
      <c r="P96" s="17" t="s">
        <v>477</v>
      </c>
      <c r="Q96" s="16">
        <f t="shared" si="4"/>
        <v>15</v>
      </c>
      <c r="R96" s="54">
        <v>6.17E-4</v>
      </c>
      <c r="S96" s="54">
        <v>0.001568</v>
      </c>
      <c r="T96" s="54">
        <v>0.002327</v>
      </c>
      <c r="U96" s="54">
        <v>0.003082</v>
      </c>
      <c r="V96" s="54">
        <v>0.1301</v>
      </c>
      <c r="W96" s="55">
        <v>0.1285</v>
      </c>
      <c r="X96" s="55">
        <v>0.2028</v>
      </c>
      <c r="Y96" s="55">
        <v>0.2614</v>
      </c>
    </row>
    <row r="97">
      <c r="A97" s="67">
        <v>43.0</v>
      </c>
      <c r="B97" s="17" t="s">
        <v>477</v>
      </c>
      <c r="C97" s="17" t="s">
        <v>423</v>
      </c>
      <c r="D97" s="82">
        <f t="shared" si="3"/>
        <v>22</v>
      </c>
      <c r="E97" s="38">
        <v>0.0</v>
      </c>
      <c r="F97" s="38">
        <v>0.0614</v>
      </c>
      <c r="G97" s="38">
        <v>0.07</v>
      </c>
      <c r="H97" s="38">
        <v>0.0667</v>
      </c>
      <c r="I97" s="39">
        <v>0.0322</v>
      </c>
      <c r="J97" s="39">
        <v>1.897</v>
      </c>
      <c r="K97" s="39">
        <v>1.6489</v>
      </c>
      <c r="L97" s="39">
        <v>2.0807</v>
      </c>
      <c r="N97" s="67">
        <v>43.0</v>
      </c>
      <c r="O97" s="17" t="s">
        <v>477</v>
      </c>
      <c r="P97" s="17" t="s">
        <v>423</v>
      </c>
      <c r="Q97" s="16">
        <f t="shared" si="4"/>
        <v>22</v>
      </c>
      <c r="R97" s="54">
        <v>0.034583</v>
      </c>
      <c r="S97" s="54">
        <v>0.0</v>
      </c>
      <c r="T97" s="54">
        <v>0.0</v>
      </c>
      <c r="U97" s="54">
        <v>0.0</v>
      </c>
      <c r="V97" s="54">
        <v>30.0116</v>
      </c>
      <c r="W97" s="55">
        <v>14.2088</v>
      </c>
      <c r="X97" s="55">
        <v>17.4726</v>
      </c>
      <c r="Y97" s="55">
        <v>20.8863</v>
      </c>
    </row>
    <row r="98">
      <c r="A98" s="67">
        <v>44.0</v>
      </c>
      <c r="B98" s="17" t="s">
        <v>477</v>
      </c>
      <c r="C98" s="17" t="s">
        <v>432</v>
      </c>
      <c r="D98" s="82">
        <f t="shared" si="3"/>
        <v>21</v>
      </c>
      <c r="E98" s="38">
        <v>0.0</v>
      </c>
      <c r="F98" s="38">
        <v>0.084</v>
      </c>
      <c r="G98" s="38">
        <v>0.1249</v>
      </c>
      <c r="H98" s="38">
        <v>0.1358</v>
      </c>
      <c r="I98" s="39">
        <v>0.0204</v>
      </c>
      <c r="J98" s="39">
        <v>0.6892</v>
      </c>
      <c r="K98" s="39">
        <v>0.8669</v>
      </c>
      <c r="L98" s="39">
        <v>1.1627</v>
      </c>
      <c r="N98" s="67">
        <v>44.0</v>
      </c>
      <c r="O98" s="17" t="s">
        <v>477</v>
      </c>
      <c r="P98" s="17" t="s">
        <v>432</v>
      </c>
      <c r="Q98" s="16">
        <f t="shared" si="4"/>
        <v>21</v>
      </c>
      <c r="R98" s="54">
        <v>0.038229</v>
      </c>
      <c r="S98" s="54">
        <v>0.0</v>
      </c>
      <c r="T98" s="54">
        <v>0.0</v>
      </c>
      <c r="U98" s="54">
        <v>0.0</v>
      </c>
      <c r="V98" s="54">
        <v>30.0265</v>
      </c>
      <c r="W98" s="55">
        <v>6.4255</v>
      </c>
      <c r="X98" s="55">
        <v>9.0524</v>
      </c>
      <c r="Y98" s="55">
        <v>12.5325</v>
      </c>
    </row>
    <row r="99">
      <c r="A99" s="67">
        <v>45.0</v>
      </c>
      <c r="B99" s="17" t="s">
        <v>477</v>
      </c>
      <c r="C99" s="17" t="s">
        <v>441</v>
      </c>
      <c r="D99" s="82">
        <f t="shared" si="3"/>
        <v>21</v>
      </c>
      <c r="E99" s="38">
        <v>0.0</v>
      </c>
      <c r="F99" s="38">
        <v>0.0675</v>
      </c>
      <c r="G99" s="38">
        <v>0.0662</v>
      </c>
      <c r="H99" s="38">
        <v>0.0829</v>
      </c>
      <c r="I99" s="39">
        <v>0.3426</v>
      </c>
      <c r="J99" s="39">
        <v>0.8867</v>
      </c>
      <c r="K99" s="39">
        <v>0.8571</v>
      </c>
      <c r="L99" s="39">
        <v>1.1147</v>
      </c>
      <c r="N99" s="67">
        <v>45.0</v>
      </c>
      <c r="O99" s="17" t="s">
        <v>477</v>
      </c>
      <c r="P99" s="17" t="s">
        <v>441</v>
      </c>
      <c r="Q99" s="16">
        <f t="shared" si="4"/>
        <v>21</v>
      </c>
      <c r="R99" s="54">
        <v>0.033812</v>
      </c>
      <c r="S99" s="54">
        <v>0.0</v>
      </c>
      <c r="T99" s="54">
        <v>0.0</v>
      </c>
      <c r="U99" s="54">
        <v>0.0</v>
      </c>
      <c r="V99" s="54">
        <v>30.0266</v>
      </c>
      <c r="W99" s="55">
        <v>6.3267</v>
      </c>
      <c r="X99" s="55">
        <v>8.2765</v>
      </c>
      <c r="Y99" s="55">
        <v>12.6819</v>
      </c>
    </row>
    <row r="100">
      <c r="A100" s="67">
        <v>46.0</v>
      </c>
      <c r="B100" s="17" t="s">
        <v>477</v>
      </c>
      <c r="C100" s="17" t="s">
        <v>450</v>
      </c>
      <c r="D100" s="82">
        <f t="shared" si="3"/>
        <v>20</v>
      </c>
      <c r="E100" s="38">
        <v>0.0</v>
      </c>
      <c r="F100" s="38">
        <v>0.1053</v>
      </c>
      <c r="G100" s="38">
        <v>0.1119</v>
      </c>
      <c r="H100" s="38">
        <v>0.1463</v>
      </c>
      <c r="I100" s="39">
        <v>0.1018</v>
      </c>
      <c r="J100" s="39">
        <v>0.6377</v>
      </c>
      <c r="K100" s="39">
        <v>0.633</v>
      </c>
      <c r="L100" s="39">
        <v>1.0184</v>
      </c>
      <c r="N100" s="67">
        <v>46.0</v>
      </c>
      <c r="O100" s="17" t="s">
        <v>477</v>
      </c>
      <c r="P100" s="17" t="s">
        <v>450</v>
      </c>
      <c r="Q100" s="16">
        <f t="shared" si="4"/>
        <v>20</v>
      </c>
      <c r="R100" s="54">
        <v>0.035185</v>
      </c>
      <c r="S100" s="54">
        <v>0.0</v>
      </c>
      <c r="T100" s="54">
        <v>0.0</v>
      </c>
      <c r="U100" s="54">
        <v>6.51E-4</v>
      </c>
      <c r="V100" s="54">
        <v>30.0276</v>
      </c>
      <c r="W100" s="55">
        <v>3.909</v>
      </c>
      <c r="X100" s="55">
        <v>4.9631</v>
      </c>
      <c r="Y100" s="55">
        <v>7.3467</v>
      </c>
    </row>
    <row r="101">
      <c r="A101" s="67">
        <v>47.0</v>
      </c>
      <c r="B101" s="17" t="s">
        <v>477</v>
      </c>
      <c r="C101" s="17" t="s">
        <v>459</v>
      </c>
      <c r="D101" s="82">
        <f t="shared" si="3"/>
        <v>17</v>
      </c>
      <c r="E101" s="38">
        <v>0.0043</v>
      </c>
      <c r="F101" s="38">
        <v>0.025</v>
      </c>
      <c r="G101" s="38">
        <v>0.0309</v>
      </c>
      <c r="H101" s="38">
        <v>0.0314</v>
      </c>
      <c r="I101" s="39">
        <v>0.609</v>
      </c>
      <c r="J101" s="39">
        <v>0.3698</v>
      </c>
      <c r="K101" s="39">
        <v>0.3511</v>
      </c>
      <c r="L101" s="39">
        <v>0.453</v>
      </c>
      <c r="N101" s="67">
        <v>47.0</v>
      </c>
      <c r="O101" s="17" t="s">
        <v>477</v>
      </c>
      <c r="P101" s="17" t="s">
        <v>459</v>
      </c>
      <c r="Q101" s="16">
        <f t="shared" si="4"/>
        <v>17</v>
      </c>
      <c r="R101" s="54">
        <v>7.61E-4</v>
      </c>
      <c r="S101" s="54">
        <v>0.001555</v>
      </c>
      <c r="T101" s="54">
        <v>0.00281</v>
      </c>
      <c r="U101" s="54">
        <v>0.00357</v>
      </c>
      <c r="V101" s="54">
        <v>4.2275</v>
      </c>
      <c r="W101" s="55">
        <v>6.0268</v>
      </c>
      <c r="X101" s="55">
        <v>12.5472</v>
      </c>
      <c r="Y101" s="55">
        <v>15.0135</v>
      </c>
    </row>
    <row r="102">
      <c r="A102" s="67">
        <v>48.0</v>
      </c>
      <c r="B102" s="17" t="s">
        <v>477</v>
      </c>
      <c r="C102" s="17" t="s">
        <v>468</v>
      </c>
      <c r="D102" s="82">
        <f t="shared" si="3"/>
        <v>15</v>
      </c>
      <c r="E102" s="38">
        <v>0.0058</v>
      </c>
      <c r="F102" s="38">
        <v>0.0398</v>
      </c>
      <c r="G102" s="38">
        <v>0.0369</v>
      </c>
      <c r="H102" s="38">
        <v>0.0449</v>
      </c>
      <c r="I102" s="39">
        <v>0.3863</v>
      </c>
      <c r="J102" s="39">
        <v>0.1856</v>
      </c>
      <c r="K102" s="39">
        <v>0.2494</v>
      </c>
      <c r="L102" s="39">
        <v>0.2991</v>
      </c>
      <c r="N102" s="67">
        <v>48.0</v>
      </c>
      <c r="O102" s="17" t="s">
        <v>477</v>
      </c>
      <c r="P102" s="17" t="s">
        <v>468</v>
      </c>
      <c r="Q102" s="16">
        <f t="shared" si="4"/>
        <v>15</v>
      </c>
      <c r="R102" s="54">
        <v>1.0E-4</v>
      </c>
      <c r="S102" s="54">
        <v>4.01E-4</v>
      </c>
      <c r="T102" s="54">
        <v>3.76E-4</v>
      </c>
      <c r="U102" s="54">
        <v>3.85E-4</v>
      </c>
      <c r="V102" s="54">
        <v>0.8446</v>
      </c>
      <c r="W102" s="55">
        <v>1.0406</v>
      </c>
      <c r="X102" s="55">
        <v>1.3123</v>
      </c>
      <c r="Y102" s="55">
        <v>1.6512</v>
      </c>
    </row>
    <row r="103">
      <c r="A103" s="67">
        <v>49.0</v>
      </c>
      <c r="B103" s="17" t="s">
        <v>477</v>
      </c>
      <c r="C103" s="17" t="s">
        <v>477</v>
      </c>
      <c r="D103" s="82">
        <f t="shared" si="3"/>
        <v>14</v>
      </c>
      <c r="E103" s="38">
        <v>0.0092</v>
      </c>
      <c r="F103" s="38">
        <v>0.0274</v>
      </c>
      <c r="G103" s="38">
        <v>0.0528</v>
      </c>
      <c r="H103" s="38">
        <v>0.0461</v>
      </c>
      <c r="I103" s="39">
        <v>0.4062</v>
      </c>
      <c r="J103" s="39">
        <v>0.1715</v>
      </c>
      <c r="K103" s="39">
        <v>0.2355</v>
      </c>
      <c r="L103" s="39">
        <v>0.3493</v>
      </c>
      <c r="N103" s="67">
        <v>49.0</v>
      </c>
      <c r="O103" s="17" t="s">
        <v>477</v>
      </c>
      <c r="P103" s="17" t="s">
        <v>477</v>
      </c>
      <c r="Q103" s="16">
        <f t="shared" si="4"/>
        <v>14</v>
      </c>
      <c r="R103" s="54">
        <v>2.01E-4</v>
      </c>
      <c r="S103" s="54">
        <v>4.77E-4</v>
      </c>
      <c r="T103" s="54">
        <v>0.001082</v>
      </c>
      <c r="U103" s="54">
        <v>0.001414</v>
      </c>
      <c r="V103" s="54">
        <v>0.4608</v>
      </c>
      <c r="W103" s="55">
        <v>0.4273</v>
      </c>
      <c r="X103" s="55">
        <v>0.5022</v>
      </c>
      <c r="Y103" s="55">
        <v>0.6572</v>
      </c>
    </row>
    <row r="104">
      <c r="A104" s="67">
        <v>50.0</v>
      </c>
      <c r="B104" s="2" t="s">
        <v>822</v>
      </c>
      <c r="C104" s="2" t="s">
        <v>441</v>
      </c>
      <c r="D104" s="82">
        <f t="shared" si="3"/>
        <v>26</v>
      </c>
      <c r="E104" s="38">
        <v>0.0</v>
      </c>
      <c r="F104" s="38">
        <v>0.1501</v>
      </c>
      <c r="G104" s="38">
        <v>0.0662</v>
      </c>
      <c r="H104" s="38">
        <v>0.2064</v>
      </c>
      <c r="I104" s="39">
        <v>0.5873</v>
      </c>
      <c r="J104" s="39">
        <v>1.5097</v>
      </c>
      <c r="K104" s="39">
        <v>0.8484</v>
      </c>
      <c r="L104" s="39">
        <v>2.3773</v>
      </c>
      <c r="N104" s="67">
        <v>50.0</v>
      </c>
      <c r="O104" s="2" t="s">
        <v>822</v>
      </c>
      <c r="P104" s="2" t="s">
        <v>441</v>
      </c>
      <c r="Q104" s="16">
        <f t="shared" si="4"/>
        <v>26</v>
      </c>
      <c r="R104" s="54">
        <v>0.052068</v>
      </c>
      <c r="S104" s="54">
        <v>0.0</v>
      </c>
      <c r="T104" s="54">
        <v>0.0</v>
      </c>
      <c r="U104" s="54">
        <v>0.0</v>
      </c>
      <c r="V104" s="54">
        <v>30.0245</v>
      </c>
      <c r="W104" s="55">
        <v>8.0644</v>
      </c>
      <c r="X104" s="55">
        <v>6.137</v>
      </c>
      <c r="Y104" s="55">
        <v>8.3983</v>
      </c>
    </row>
    <row r="106">
      <c r="A106" s="67" t="s">
        <v>878</v>
      </c>
      <c r="N106" s="83" t="s">
        <v>878</v>
      </c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</row>
    <row r="107">
      <c r="A107" s="68" t="s">
        <v>864</v>
      </c>
      <c r="B107" s="68" t="s">
        <v>865</v>
      </c>
      <c r="C107" s="68" t="s">
        <v>866</v>
      </c>
      <c r="D107" s="68" t="s">
        <v>867</v>
      </c>
      <c r="E107" s="68" t="s">
        <v>868</v>
      </c>
      <c r="F107" s="68" t="s">
        <v>869</v>
      </c>
      <c r="G107" s="68" t="s">
        <v>870</v>
      </c>
      <c r="H107" s="68" t="s">
        <v>871</v>
      </c>
      <c r="I107" s="68" t="s">
        <v>872</v>
      </c>
      <c r="J107" s="68" t="s">
        <v>873</v>
      </c>
      <c r="K107" s="68" t="s">
        <v>874</v>
      </c>
      <c r="L107" s="68" t="s">
        <v>875</v>
      </c>
      <c r="N107" s="85" t="s">
        <v>876</v>
      </c>
      <c r="O107" s="86" t="s">
        <v>865</v>
      </c>
      <c r="P107" s="86" t="s">
        <v>866</v>
      </c>
      <c r="Q107" s="85" t="s">
        <v>867</v>
      </c>
      <c r="R107" s="86" t="s">
        <v>868</v>
      </c>
      <c r="S107" s="86" t="s">
        <v>869</v>
      </c>
      <c r="T107" s="86" t="s">
        <v>870</v>
      </c>
      <c r="U107" s="86" t="s">
        <v>871</v>
      </c>
      <c r="V107" s="86" t="s">
        <v>872</v>
      </c>
      <c r="W107" s="86" t="s">
        <v>873</v>
      </c>
      <c r="X107" s="86" t="s">
        <v>874</v>
      </c>
      <c r="Y107" s="86" t="s">
        <v>875</v>
      </c>
    </row>
    <row r="108">
      <c r="A108" s="67">
        <v>1.0</v>
      </c>
      <c r="B108" s="87" t="s">
        <v>831</v>
      </c>
      <c r="C108" s="88" t="s">
        <v>831</v>
      </c>
      <c r="D108" s="16">
        <f t="shared" ref="D108:D157" si="5">LEN(B108)+LEN(C108)</f>
        <v>40</v>
      </c>
      <c r="N108" s="67">
        <v>1.0</v>
      </c>
      <c r="O108" s="87" t="s">
        <v>831</v>
      </c>
      <c r="P108" s="88" t="s">
        <v>831</v>
      </c>
      <c r="Q108" s="16">
        <f t="shared" ref="Q108:Q157" si="6">LEN(O108)+LEN(P108)</f>
        <v>40</v>
      </c>
    </row>
    <row r="109">
      <c r="A109" s="67">
        <v>2.0</v>
      </c>
      <c r="B109" s="89" t="s">
        <v>831</v>
      </c>
      <c r="C109" s="90" t="s">
        <v>832</v>
      </c>
      <c r="D109" s="16">
        <f t="shared" si="5"/>
        <v>39</v>
      </c>
      <c r="N109" s="67">
        <v>2.0</v>
      </c>
      <c r="O109" s="89" t="s">
        <v>831</v>
      </c>
      <c r="P109" s="90" t="s">
        <v>832</v>
      </c>
      <c r="Q109" s="16">
        <f t="shared" si="6"/>
        <v>39</v>
      </c>
    </row>
    <row r="110">
      <c r="A110" s="67">
        <v>3.0</v>
      </c>
      <c r="B110" s="89" t="s">
        <v>831</v>
      </c>
      <c r="C110" s="90" t="s">
        <v>833</v>
      </c>
      <c r="D110" s="16">
        <f t="shared" si="5"/>
        <v>39</v>
      </c>
      <c r="N110" s="67">
        <v>3.0</v>
      </c>
      <c r="O110" s="89" t="s">
        <v>831</v>
      </c>
      <c r="P110" s="90" t="s">
        <v>833</v>
      </c>
      <c r="Q110" s="16">
        <f t="shared" si="6"/>
        <v>39</v>
      </c>
    </row>
    <row r="111">
      <c r="A111" s="67">
        <v>4.0</v>
      </c>
      <c r="B111" s="89" t="s">
        <v>831</v>
      </c>
      <c r="C111" s="90" t="s">
        <v>834</v>
      </c>
      <c r="D111" s="16">
        <f t="shared" si="5"/>
        <v>38</v>
      </c>
      <c r="N111" s="67">
        <v>4.0</v>
      </c>
      <c r="O111" s="89" t="s">
        <v>831</v>
      </c>
      <c r="P111" s="90" t="s">
        <v>834</v>
      </c>
      <c r="Q111" s="16">
        <f t="shared" si="6"/>
        <v>38</v>
      </c>
    </row>
    <row r="112">
      <c r="A112" s="67">
        <v>5.0</v>
      </c>
      <c r="B112" s="89" t="s">
        <v>831</v>
      </c>
      <c r="C112" s="90" t="s">
        <v>835</v>
      </c>
      <c r="D112" s="16">
        <f t="shared" si="5"/>
        <v>34</v>
      </c>
      <c r="N112" s="67">
        <v>5.0</v>
      </c>
      <c r="O112" s="89" t="s">
        <v>831</v>
      </c>
      <c r="P112" s="90" t="s">
        <v>835</v>
      </c>
      <c r="Q112" s="16">
        <f t="shared" si="6"/>
        <v>34</v>
      </c>
    </row>
    <row r="113">
      <c r="A113" s="67">
        <v>6.0</v>
      </c>
      <c r="B113" s="89" t="s">
        <v>831</v>
      </c>
      <c r="C113" s="90" t="s">
        <v>836</v>
      </c>
      <c r="D113" s="16">
        <f t="shared" si="5"/>
        <v>30</v>
      </c>
      <c r="N113" s="67">
        <v>6.0</v>
      </c>
      <c r="O113" s="89" t="s">
        <v>831</v>
      </c>
      <c r="P113" s="90" t="s">
        <v>836</v>
      </c>
      <c r="Q113" s="16">
        <f t="shared" si="6"/>
        <v>30</v>
      </c>
    </row>
    <row r="114">
      <c r="A114" s="67">
        <v>7.0</v>
      </c>
      <c r="B114" s="89" t="s">
        <v>831</v>
      </c>
      <c r="C114" s="90" t="s">
        <v>837</v>
      </c>
      <c r="D114" s="16">
        <f t="shared" si="5"/>
        <v>30</v>
      </c>
      <c r="N114" s="67">
        <v>7.0</v>
      </c>
      <c r="O114" s="89" t="s">
        <v>831</v>
      </c>
      <c r="P114" s="90" t="s">
        <v>837</v>
      </c>
      <c r="Q114" s="16">
        <f t="shared" si="6"/>
        <v>30</v>
      </c>
    </row>
    <row r="115">
      <c r="A115" s="67">
        <v>8.0</v>
      </c>
      <c r="B115" s="89" t="s">
        <v>832</v>
      </c>
      <c r="C115" s="90" t="s">
        <v>831</v>
      </c>
      <c r="D115" s="16">
        <f t="shared" si="5"/>
        <v>39</v>
      </c>
      <c r="N115" s="67">
        <v>8.0</v>
      </c>
      <c r="O115" s="89" t="s">
        <v>832</v>
      </c>
      <c r="P115" s="90" t="s">
        <v>831</v>
      </c>
      <c r="Q115" s="16">
        <f t="shared" si="6"/>
        <v>39</v>
      </c>
    </row>
    <row r="116">
      <c r="A116" s="67">
        <v>9.0</v>
      </c>
      <c r="B116" s="89" t="s">
        <v>832</v>
      </c>
      <c r="C116" s="90" t="s">
        <v>832</v>
      </c>
      <c r="D116" s="16">
        <f t="shared" si="5"/>
        <v>38</v>
      </c>
      <c r="N116" s="67">
        <v>9.0</v>
      </c>
      <c r="O116" s="89" t="s">
        <v>832</v>
      </c>
      <c r="P116" s="90" t="s">
        <v>832</v>
      </c>
      <c r="Q116" s="16">
        <f t="shared" si="6"/>
        <v>38</v>
      </c>
    </row>
    <row r="117">
      <c r="A117" s="67">
        <v>10.0</v>
      </c>
      <c r="B117" s="89" t="s">
        <v>832</v>
      </c>
      <c r="C117" s="90" t="s">
        <v>833</v>
      </c>
      <c r="D117" s="16">
        <f t="shared" si="5"/>
        <v>38</v>
      </c>
      <c r="N117" s="67">
        <v>10.0</v>
      </c>
      <c r="O117" s="89" t="s">
        <v>832</v>
      </c>
      <c r="P117" s="90" t="s">
        <v>833</v>
      </c>
      <c r="Q117" s="16">
        <f t="shared" si="6"/>
        <v>38</v>
      </c>
    </row>
    <row r="118">
      <c r="A118" s="67">
        <v>11.0</v>
      </c>
      <c r="B118" s="89" t="s">
        <v>832</v>
      </c>
      <c r="C118" s="90" t="s">
        <v>834</v>
      </c>
      <c r="D118" s="16">
        <f t="shared" si="5"/>
        <v>37</v>
      </c>
      <c r="N118" s="67">
        <v>11.0</v>
      </c>
      <c r="O118" s="89" t="s">
        <v>832</v>
      </c>
      <c r="P118" s="90" t="s">
        <v>834</v>
      </c>
      <c r="Q118" s="16">
        <f t="shared" si="6"/>
        <v>37</v>
      </c>
    </row>
    <row r="119">
      <c r="A119" s="67">
        <v>12.0</v>
      </c>
      <c r="B119" s="89" t="s">
        <v>832</v>
      </c>
      <c r="C119" s="90" t="s">
        <v>835</v>
      </c>
      <c r="D119" s="16">
        <f t="shared" si="5"/>
        <v>33</v>
      </c>
      <c r="N119" s="67">
        <v>12.0</v>
      </c>
      <c r="O119" s="89" t="s">
        <v>832</v>
      </c>
      <c r="P119" s="90" t="s">
        <v>835</v>
      </c>
      <c r="Q119" s="16">
        <f t="shared" si="6"/>
        <v>33</v>
      </c>
    </row>
    <row r="120">
      <c r="A120" s="67">
        <v>13.0</v>
      </c>
      <c r="B120" s="89" t="s">
        <v>832</v>
      </c>
      <c r="C120" s="90" t="s">
        <v>836</v>
      </c>
      <c r="D120" s="16">
        <f t="shared" si="5"/>
        <v>29</v>
      </c>
      <c r="N120" s="67">
        <v>13.0</v>
      </c>
      <c r="O120" s="89" t="s">
        <v>832</v>
      </c>
      <c r="P120" s="90" t="s">
        <v>836</v>
      </c>
      <c r="Q120" s="16">
        <f t="shared" si="6"/>
        <v>29</v>
      </c>
    </row>
    <row r="121">
      <c r="A121" s="67">
        <v>14.0</v>
      </c>
      <c r="B121" s="89" t="s">
        <v>832</v>
      </c>
      <c r="C121" s="90" t="s">
        <v>837</v>
      </c>
      <c r="D121" s="16">
        <f t="shared" si="5"/>
        <v>29</v>
      </c>
      <c r="N121" s="67">
        <v>14.0</v>
      </c>
      <c r="O121" s="89" t="s">
        <v>832</v>
      </c>
      <c r="P121" s="90" t="s">
        <v>837</v>
      </c>
      <c r="Q121" s="16">
        <f t="shared" si="6"/>
        <v>29</v>
      </c>
    </row>
    <row r="122">
      <c r="A122" s="67">
        <v>15.0</v>
      </c>
      <c r="B122" s="89" t="s">
        <v>833</v>
      </c>
      <c r="C122" s="90" t="s">
        <v>831</v>
      </c>
      <c r="D122" s="16">
        <f t="shared" si="5"/>
        <v>39</v>
      </c>
      <c r="N122" s="67">
        <v>15.0</v>
      </c>
      <c r="O122" s="89" t="s">
        <v>833</v>
      </c>
      <c r="P122" s="90" t="s">
        <v>831</v>
      </c>
      <c r="Q122" s="16">
        <f t="shared" si="6"/>
        <v>39</v>
      </c>
    </row>
    <row r="123">
      <c r="A123" s="67">
        <v>16.0</v>
      </c>
      <c r="B123" s="89" t="s">
        <v>833</v>
      </c>
      <c r="C123" s="90" t="s">
        <v>832</v>
      </c>
      <c r="D123" s="16">
        <f t="shared" si="5"/>
        <v>38</v>
      </c>
      <c r="N123" s="67">
        <v>16.0</v>
      </c>
      <c r="O123" s="89" t="s">
        <v>833</v>
      </c>
      <c r="P123" s="90" t="s">
        <v>832</v>
      </c>
      <c r="Q123" s="16">
        <f t="shared" si="6"/>
        <v>38</v>
      </c>
    </row>
    <row r="124">
      <c r="A124" s="67">
        <v>17.0</v>
      </c>
      <c r="B124" s="89" t="s">
        <v>833</v>
      </c>
      <c r="C124" s="90" t="s">
        <v>833</v>
      </c>
      <c r="D124" s="16">
        <f t="shared" si="5"/>
        <v>38</v>
      </c>
      <c r="N124" s="67">
        <v>17.0</v>
      </c>
      <c r="O124" s="89" t="s">
        <v>833</v>
      </c>
      <c r="P124" s="90" t="s">
        <v>833</v>
      </c>
      <c r="Q124" s="16">
        <f t="shared" si="6"/>
        <v>38</v>
      </c>
    </row>
    <row r="125">
      <c r="A125" s="67">
        <v>18.0</v>
      </c>
      <c r="B125" s="89" t="s">
        <v>833</v>
      </c>
      <c r="C125" s="90" t="s">
        <v>834</v>
      </c>
      <c r="D125" s="16">
        <f t="shared" si="5"/>
        <v>37</v>
      </c>
      <c r="N125" s="67">
        <v>18.0</v>
      </c>
      <c r="O125" s="89" t="s">
        <v>833</v>
      </c>
      <c r="P125" s="90" t="s">
        <v>834</v>
      </c>
      <c r="Q125" s="16">
        <f t="shared" si="6"/>
        <v>37</v>
      </c>
    </row>
    <row r="126">
      <c r="A126" s="67">
        <v>19.0</v>
      </c>
      <c r="B126" s="89" t="s">
        <v>833</v>
      </c>
      <c r="C126" s="90" t="s">
        <v>835</v>
      </c>
      <c r="D126" s="16">
        <f t="shared" si="5"/>
        <v>33</v>
      </c>
      <c r="N126" s="67">
        <v>19.0</v>
      </c>
      <c r="O126" s="89" t="s">
        <v>833</v>
      </c>
      <c r="P126" s="90" t="s">
        <v>835</v>
      </c>
      <c r="Q126" s="16">
        <f t="shared" si="6"/>
        <v>33</v>
      </c>
    </row>
    <row r="127">
      <c r="A127" s="67">
        <v>20.0</v>
      </c>
      <c r="B127" s="89" t="s">
        <v>833</v>
      </c>
      <c r="C127" s="90" t="s">
        <v>836</v>
      </c>
      <c r="D127" s="16">
        <f t="shared" si="5"/>
        <v>29</v>
      </c>
      <c r="N127" s="67">
        <v>20.0</v>
      </c>
      <c r="O127" s="89" t="s">
        <v>833</v>
      </c>
      <c r="P127" s="90" t="s">
        <v>836</v>
      </c>
      <c r="Q127" s="16">
        <f t="shared" si="6"/>
        <v>29</v>
      </c>
    </row>
    <row r="128">
      <c r="A128" s="67">
        <v>21.0</v>
      </c>
      <c r="B128" s="89" t="s">
        <v>833</v>
      </c>
      <c r="C128" s="90" t="s">
        <v>837</v>
      </c>
      <c r="D128" s="16">
        <f t="shared" si="5"/>
        <v>29</v>
      </c>
      <c r="N128" s="67">
        <v>21.0</v>
      </c>
      <c r="O128" s="89" t="s">
        <v>833</v>
      </c>
      <c r="P128" s="90" t="s">
        <v>837</v>
      </c>
      <c r="Q128" s="16">
        <f t="shared" si="6"/>
        <v>29</v>
      </c>
    </row>
    <row r="129">
      <c r="A129" s="67">
        <v>22.0</v>
      </c>
      <c r="B129" s="89" t="s">
        <v>834</v>
      </c>
      <c r="C129" s="90" t="s">
        <v>831</v>
      </c>
      <c r="D129" s="16">
        <f t="shared" si="5"/>
        <v>38</v>
      </c>
      <c r="N129" s="67">
        <v>22.0</v>
      </c>
      <c r="O129" s="89" t="s">
        <v>834</v>
      </c>
      <c r="P129" s="90" t="s">
        <v>831</v>
      </c>
      <c r="Q129" s="16">
        <f t="shared" si="6"/>
        <v>38</v>
      </c>
    </row>
    <row r="130">
      <c r="A130" s="67">
        <v>23.0</v>
      </c>
      <c r="B130" s="89" t="s">
        <v>834</v>
      </c>
      <c r="C130" s="90" t="s">
        <v>832</v>
      </c>
      <c r="D130" s="16">
        <f t="shared" si="5"/>
        <v>37</v>
      </c>
      <c r="N130" s="67">
        <v>23.0</v>
      </c>
      <c r="O130" s="89" t="s">
        <v>834</v>
      </c>
      <c r="P130" s="90" t="s">
        <v>832</v>
      </c>
      <c r="Q130" s="16">
        <f t="shared" si="6"/>
        <v>37</v>
      </c>
    </row>
    <row r="131">
      <c r="A131" s="67">
        <v>24.0</v>
      </c>
      <c r="B131" s="89" t="s">
        <v>834</v>
      </c>
      <c r="C131" s="90" t="s">
        <v>833</v>
      </c>
      <c r="D131" s="16">
        <f t="shared" si="5"/>
        <v>37</v>
      </c>
      <c r="N131" s="67">
        <v>24.0</v>
      </c>
      <c r="O131" s="89" t="s">
        <v>834</v>
      </c>
      <c r="P131" s="90" t="s">
        <v>833</v>
      </c>
      <c r="Q131" s="16">
        <f t="shared" si="6"/>
        <v>37</v>
      </c>
    </row>
    <row r="132">
      <c r="A132" s="67">
        <v>25.0</v>
      </c>
      <c r="B132" s="89" t="s">
        <v>834</v>
      </c>
      <c r="C132" s="90" t="s">
        <v>834</v>
      </c>
      <c r="D132" s="16">
        <f t="shared" si="5"/>
        <v>36</v>
      </c>
      <c r="N132" s="67">
        <v>25.0</v>
      </c>
      <c r="O132" s="89" t="s">
        <v>834</v>
      </c>
      <c r="P132" s="90" t="s">
        <v>834</v>
      </c>
      <c r="Q132" s="16">
        <f t="shared" si="6"/>
        <v>36</v>
      </c>
    </row>
    <row r="133">
      <c r="A133" s="67">
        <v>26.0</v>
      </c>
      <c r="B133" s="89" t="s">
        <v>834</v>
      </c>
      <c r="C133" s="90" t="s">
        <v>835</v>
      </c>
      <c r="D133" s="16">
        <f t="shared" si="5"/>
        <v>32</v>
      </c>
      <c r="N133" s="67">
        <v>26.0</v>
      </c>
      <c r="O133" s="89" t="s">
        <v>834</v>
      </c>
      <c r="P133" s="90" t="s">
        <v>835</v>
      </c>
      <c r="Q133" s="16">
        <f t="shared" si="6"/>
        <v>32</v>
      </c>
    </row>
    <row r="134">
      <c r="A134" s="67">
        <v>27.0</v>
      </c>
      <c r="B134" s="89" t="s">
        <v>834</v>
      </c>
      <c r="C134" s="90" t="s">
        <v>836</v>
      </c>
      <c r="D134" s="16">
        <f t="shared" si="5"/>
        <v>28</v>
      </c>
      <c r="N134" s="67">
        <v>27.0</v>
      </c>
      <c r="O134" s="89" t="s">
        <v>834</v>
      </c>
      <c r="P134" s="90" t="s">
        <v>836</v>
      </c>
      <c r="Q134" s="16">
        <f t="shared" si="6"/>
        <v>28</v>
      </c>
    </row>
    <row r="135">
      <c r="A135" s="67">
        <v>28.0</v>
      </c>
      <c r="B135" s="89" t="s">
        <v>834</v>
      </c>
      <c r="C135" s="90" t="s">
        <v>837</v>
      </c>
      <c r="D135" s="16">
        <f t="shared" si="5"/>
        <v>28</v>
      </c>
      <c r="N135" s="67">
        <v>28.0</v>
      </c>
      <c r="O135" s="89" t="s">
        <v>834</v>
      </c>
      <c r="P135" s="90" t="s">
        <v>837</v>
      </c>
      <c r="Q135" s="16">
        <f t="shared" si="6"/>
        <v>28</v>
      </c>
    </row>
    <row r="136">
      <c r="A136" s="67">
        <v>29.0</v>
      </c>
      <c r="B136" s="89" t="s">
        <v>835</v>
      </c>
      <c r="C136" s="90" t="s">
        <v>831</v>
      </c>
      <c r="D136" s="16">
        <f t="shared" si="5"/>
        <v>34</v>
      </c>
      <c r="N136" s="67">
        <v>29.0</v>
      </c>
      <c r="O136" s="89" t="s">
        <v>835</v>
      </c>
      <c r="P136" s="90" t="s">
        <v>831</v>
      </c>
      <c r="Q136" s="16">
        <f t="shared" si="6"/>
        <v>34</v>
      </c>
    </row>
    <row r="137">
      <c r="A137" s="67">
        <v>30.0</v>
      </c>
      <c r="B137" s="89" t="s">
        <v>835</v>
      </c>
      <c r="C137" s="90" t="s">
        <v>832</v>
      </c>
      <c r="D137" s="16">
        <f t="shared" si="5"/>
        <v>33</v>
      </c>
      <c r="N137" s="67">
        <v>30.0</v>
      </c>
      <c r="O137" s="89" t="s">
        <v>835</v>
      </c>
      <c r="P137" s="90" t="s">
        <v>832</v>
      </c>
      <c r="Q137" s="16">
        <f t="shared" si="6"/>
        <v>33</v>
      </c>
    </row>
    <row r="138">
      <c r="A138" s="67">
        <v>31.0</v>
      </c>
      <c r="B138" s="89" t="s">
        <v>835</v>
      </c>
      <c r="C138" s="90" t="s">
        <v>833</v>
      </c>
      <c r="D138" s="16">
        <f t="shared" si="5"/>
        <v>33</v>
      </c>
      <c r="N138" s="67">
        <v>31.0</v>
      </c>
      <c r="O138" s="89" t="s">
        <v>835</v>
      </c>
      <c r="P138" s="90" t="s">
        <v>833</v>
      </c>
      <c r="Q138" s="16">
        <f t="shared" si="6"/>
        <v>33</v>
      </c>
    </row>
    <row r="139">
      <c r="A139" s="67">
        <v>32.0</v>
      </c>
      <c r="B139" s="89" t="s">
        <v>835</v>
      </c>
      <c r="C139" s="90" t="s">
        <v>834</v>
      </c>
      <c r="D139" s="16">
        <f t="shared" si="5"/>
        <v>32</v>
      </c>
      <c r="N139" s="67">
        <v>32.0</v>
      </c>
      <c r="O139" s="89" t="s">
        <v>835</v>
      </c>
      <c r="P139" s="90" t="s">
        <v>834</v>
      </c>
      <c r="Q139" s="16">
        <f t="shared" si="6"/>
        <v>32</v>
      </c>
    </row>
    <row r="140">
      <c r="A140" s="67">
        <v>33.0</v>
      </c>
      <c r="B140" s="89" t="s">
        <v>835</v>
      </c>
      <c r="C140" s="90" t="s">
        <v>835</v>
      </c>
      <c r="D140" s="16">
        <f t="shared" si="5"/>
        <v>28</v>
      </c>
      <c r="N140" s="67">
        <v>33.0</v>
      </c>
      <c r="O140" s="89" t="s">
        <v>835</v>
      </c>
      <c r="P140" s="90" t="s">
        <v>835</v>
      </c>
      <c r="Q140" s="16">
        <f t="shared" si="6"/>
        <v>28</v>
      </c>
    </row>
    <row r="141">
      <c r="A141" s="67">
        <v>34.0</v>
      </c>
      <c r="B141" s="89" t="s">
        <v>835</v>
      </c>
      <c r="C141" s="90" t="s">
        <v>836</v>
      </c>
      <c r="D141" s="16">
        <f t="shared" si="5"/>
        <v>24</v>
      </c>
      <c r="N141" s="67">
        <v>34.0</v>
      </c>
      <c r="O141" s="89" t="s">
        <v>835</v>
      </c>
      <c r="P141" s="90" t="s">
        <v>836</v>
      </c>
      <c r="Q141" s="16">
        <f t="shared" si="6"/>
        <v>24</v>
      </c>
    </row>
    <row r="142">
      <c r="A142" s="67">
        <v>35.0</v>
      </c>
      <c r="B142" s="89" t="s">
        <v>835</v>
      </c>
      <c r="C142" s="90" t="s">
        <v>837</v>
      </c>
      <c r="D142" s="16">
        <f t="shared" si="5"/>
        <v>24</v>
      </c>
      <c r="N142" s="67">
        <v>35.0</v>
      </c>
      <c r="O142" s="89" t="s">
        <v>835</v>
      </c>
      <c r="P142" s="90" t="s">
        <v>837</v>
      </c>
      <c r="Q142" s="16">
        <f t="shared" si="6"/>
        <v>24</v>
      </c>
    </row>
    <row r="143">
      <c r="A143" s="67">
        <v>36.0</v>
      </c>
      <c r="B143" s="89" t="s">
        <v>836</v>
      </c>
      <c r="C143" s="90" t="s">
        <v>831</v>
      </c>
      <c r="D143" s="16">
        <f t="shared" si="5"/>
        <v>30</v>
      </c>
      <c r="N143" s="67">
        <v>36.0</v>
      </c>
      <c r="O143" s="89" t="s">
        <v>836</v>
      </c>
      <c r="P143" s="90" t="s">
        <v>831</v>
      </c>
      <c r="Q143" s="16">
        <f t="shared" si="6"/>
        <v>30</v>
      </c>
    </row>
    <row r="144">
      <c r="A144" s="67">
        <v>37.0</v>
      </c>
      <c r="B144" s="89" t="s">
        <v>836</v>
      </c>
      <c r="C144" s="90" t="s">
        <v>832</v>
      </c>
      <c r="D144" s="16">
        <f t="shared" si="5"/>
        <v>29</v>
      </c>
      <c r="N144" s="67">
        <v>37.0</v>
      </c>
      <c r="O144" s="89" t="s">
        <v>836</v>
      </c>
      <c r="P144" s="90" t="s">
        <v>832</v>
      </c>
      <c r="Q144" s="16">
        <f t="shared" si="6"/>
        <v>29</v>
      </c>
    </row>
    <row r="145">
      <c r="A145" s="67">
        <v>38.0</v>
      </c>
      <c r="B145" s="89" t="s">
        <v>836</v>
      </c>
      <c r="C145" s="90" t="s">
        <v>833</v>
      </c>
      <c r="D145" s="16">
        <f t="shared" si="5"/>
        <v>29</v>
      </c>
      <c r="N145" s="67">
        <v>38.0</v>
      </c>
      <c r="O145" s="89" t="s">
        <v>836</v>
      </c>
      <c r="P145" s="90" t="s">
        <v>833</v>
      </c>
      <c r="Q145" s="16">
        <f t="shared" si="6"/>
        <v>29</v>
      </c>
    </row>
    <row r="146">
      <c r="A146" s="67">
        <v>39.0</v>
      </c>
      <c r="B146" s="89" t="s">
        <v>836</v>
      </c>
      <c r="C146" s="90" t="s">
        <v>834</v>
      </c>
      <c r="D146" s="16">
        <f t="shared" si="5"/>
        <v>28</v>
      </c>
      <c r="N146" s="67">
        <v>39.0</v>
      </c>
      <c r="O146" s="89" t="s">
        <v>836</v>
      </c>
      <c r="P146" s="90" t="s">
        <v>834</v>
      </c>
      <c r="Q146" s="16">
        <f t="shared" si="6"/>
        <v>28</v>
      </c>
    </row>
    <row r="147">
      <c r="A147" s="67">
        <v>40.0</v>
      </c>
      <c r="B147" s="89" t="s">
        <v>836</v>
      </c>
      <c r="C147" s="90" t="s">
        <v>835</v>
      </c>
      <c r="D147" s="16">
        <f t="shared" si="5"/>
        <v>24</v>
      </c>
      <c r="N147" s="67">
        <v>40.0</v>
      </c>
      <c r="O147" s="89" t="s">
        <v>836</v>
      </c>
      <c r="P147" s="90" t="s">
        <v>835</v>
      </c>
      <c r="Q147" s="16">
        <f t="shared" si="6"/>
        <v>24</v>
      </c>
    </row>
    <row r="148">
      <c r="A148" s="67">
        <v>41.0</v>
      </c>
      <c r="B148" s="89" t="s">
        <v>836</v>
      </c>
      <c r="C148" s="90" t="s">
        <v>836</v>
      </c>
      <c r="D148" s="16">
        <f t="shared" si="5"/>
        <v>20</v>
      </c>
      <c r="N148" s="67">
        <v>41.0</v>
      </c>
      <c r="O148" s="89" t="s">
        <v>836</v>
      </c>
      <c r="P148" s="90" t="s">
        <v>836</v>
      </c>
      <c r="Q148" s="16">
        <f t="shared" si="6"/>
        <v>20</v>
      </c>
    </row>
    <row r="149">
      <c r="A149" s="67">
        <v>42.0</v>
      </c>
      <c r="B149" s="89" t="s">
        <v>836</v>
      </c>
      <c r="C149" s="90" t="s">
        <v>837</v>
      </c>
      <c r="D149" s="16">
        <f t="shared" si="5"/>
        <v>20</v>
      </c>
      <c r="N149" s="67">
        <v>42.0</v>
      </c>
      <c r="O149" s="89" t="s">
        <v>836</v>
      </c>
      <c r="P149" s="90" t="s">
        <v>837</v>
      </c>
      <c r="Q149" s="16">
        <f t="shared" si="6"/>
        <v>20</v>
      </c>
    </row>
    <row r="150">
      <c r="A150" s="67">
        <v>43.0</v>
      </c>
      <c r="B150" s="89" t="s">
        <v>837</v>
      </c>
      <c r="C150" s="90" t="s">
        <v>831</v>
      </c>
      <c r="D150" s="16">
        <f t="shared" si="5"/>
        <v>30</v>
      </c>
      <c r="N150" s="67">
        <v>43.0</v>
      </c>
      <c r="O150" s="89" t="s">
        <v>837</v>
      </c>
      <c r="P150" s="90" t="s">
        <v>831</v>
      </c>
      <c r="Q150" s="16">
        <f t="shared" si="6"/>
        <v>30</v>
      </c>
    </row>
    <row r="151">
      <c r="A151" s="67">
        <v>44.0</v>
      </c>
      <c r="B151" s="89" t="s">
        <v>837</v>
      </c>
      <c r="C151" s="90" t="s">
        <v>832</v>
      </c>
      <c r="D151" s="16">
        <f t="shared" si="5"/>
        <v>29</v>
      </c>
      <c r="N151" s="67">
        <v>44.0</v>
      </c>
      <c r="O151" s="89" t="s">
        <v>837</v>
      </c>
      <c r="P151" s="90" t="s">
        <v>832</v>
      </c>
      <c r="Q151" s="16">
        <f t="shared" si="6"/>
        <v>29</v>
      </c>
    </row>
    <row r="152">
      <c r="A152" s="67">
        <v>45.0</v>
      </c>
      <c r="B152" s="89" t="s">
        <v>837</v>
      </c>
      <c r="C152" s="90" t="s">
        <v>833</v>
      </c>
      <c r="D152" s="16">
        <f t="shared" si="5"/>
        <v>29</v>
      </c>
      <c r="N152" s="67">
        <v>45.0</v>
      </c>
      <c r="O152" s="89" t="s">
        <v>837</v>
      </c>
      <c r="P152" s="90" t="s">
        <v>833</v>
      </c>
      <c r="Q152" s="16">
        <f t="shared" si="6"/>
        <v>29</v>
      </c>
    </row>
    <row r="153">
      <c r="A153" s="67">
        <v>46.0</v>
      </c>
      <c r="B153" s="89" t="s">
        <v>837</v>
      </c>
      <c r="C153" s="90" t="s">
        <v>834</v>
      </c>
      <c r="D153" s="16">
        <f t="shared" si="5"/>
        <v>28</v>
      </c>
      <c r="N153" s="67">
        <v>46.0</v>
      </c>
      <c r="O153" s="89" t="s">
        <v>837</v>
      </c>
      <c r="P153" s="90" t="s">
        <v>834</v>
      </c>
      <c r="Q153" s="16">
        <f t="shared" si="6"/>
        <v>28</v>
      </c>
    </row>
    <row r="154">
      <c r="A154" s="67">
        <v>47.0</v>
      </c>
      <c r="B154" s="89" t="s">
        <v>837</v>
      </c>
      <c r="C154" s="90" t="s">
        <v>835</v>
      </c>
      <c r="D154" s="16">
        <f t="shared" si="5"/>
        <v>24</v>
      </c>
      <c r="N154" s="67">
        <v>47.0</v>
      </c>
      <c r="O154" s="89" t="s">
        <v>837</v>
      </c>
      <c r="P154" s="90" t="s">
        <v>835</v>
      </c>
      <c r="Q154" s="16">
        <f t="shared" si="6"/>
        <v>24</v>
      </c>
    </row>
    <row r="155">
      <c r="A155" s="67">
        <v>48.0</v>
      </c>
      <c r="B155" s="89" t="s">
        <v>837</v>
      </c>
      <c r="C155" s="90" t="s">
        <v>836</v>
      </c>
      <c r="D155" s="16">
        <f t="shared" si="5"/>
        <v>20</v>
      </c>
      <c r="N155" s="67">
        <v>48.0</v>
      </c>
      <c r="O155" s="89" t="s">
        <v>837</v>
      </c>
      <c r="P155" s="90" t="s">
        <v>836</v>
      </c>
      <c r="Q155" s="16">
        <f t="shared" si="6"/>
        <v>20</v>
      </c>
    </row>
    <row r="156">
      <c r="A156" s="67">
        <v>49.0</v>
      </c>
      <c r="B156" s="89" t="s">
        <v>837</v>
      </c>
      <c r="C156" s="90" t="s">
        <v>837</v>
      </c>
      <c r="D156" s="16">
        <f t="shared" si="5"/>
        <v>20</v>
      </c>
      <c r="N156" s="67">
        <v>49.0</v>
      </c>
      <c r="O156" s="89" t="s">
        <v>837</v>
      </c>
      <c r="P156" s="90" t="s">
        <v>837</v>
      </c>
      <c r="Q156" s="16">
        <f t="shared" si="6"/>
        <v>20</v>
      </c>
    </row>
    <row r="157">
      <c r="A157" s="67">
        <v>50.0</v>
      </c>
      <c r="B157" s="91" t="s">
        <v>822</v>
      </c>
      <c r="C157" s="92" t="s">
        <v>441</v>
      </c>
      <c r="D157" s="16">
        <f t="shared" si="5"/>
        <v>26</v>
      </c>
      <c r="N157" s="67">
        <v>50.0</v>
      </c>
      <c r="O157" s="91" t="s">
        <v>822</v>
      </c>
      <c r="P157" s="92" t="s">
        <v>441</v>
      </c>
      <c r="Q157" s="16">
        <f t="shared" si="6"/>
        <v>26</v>
      </c>
    </row>
    <row r="159">
      <c r="A159" s="67" t="s">
        <v>879</v>
      </c>
    </row>
    <row r="160">
      <c r="A160" s="67" t="s">
        <v>880</v>
      </c>
      <c r="B160" s="67" t="s">
        <v>881</v>
      </c>
      <c r="C160" s="67" t="s">
        <v>882</v>
      </c>
      <c r="D160" s="67" t="s">
        <v>883</v>
      </c>
      <c r="E160" s="67" t="s">
        <v>884</v>
      </c>
    </row>
    <row r="161">
      <c r="A161" s="67" t="s">
        <v>879</v>
      </c>
      <c r="B161" s="16">
        <f>SUM(GA1P10A!B2:B11)</f>
        <v>1.276845</v>
      </c>
      <c r="C161" s="16">
        <f>SUM(GA1P10A!C2:C11)</f>
        <v>5.078627778</v>
      </c>
      <c r="D161" s="16">
        <f>SUM(GA1P10A!D2:D11)</f>
        <v>7.829378333</v>
      </c>
      <c r="E161" s="16">
        <f>SUM(GA1P10A!E2:E11)</f>
        <v>10.12248667</v>
      </c>
    </row>
    <row r="162">
      <c r="A162" s="67" t="s">
        <v>877</v>
      </c>
      <c r="B162" s="16">
        <f>SUM(GA2P15B!B2:B17)</f>
        <v>0.04229166667</v>
      </c>
      <c r="C162" s="16">
        <f>SUM(GA2P15B!C2:C17)</f>
        <v>1.552341667</v>
      </c>
      <c r="D162" s="16">
        <f>SUM(GA2P15B!D2:D17)</f>
        <v>1.810525</v>
      </c>
      <c r="E162" s="16">
        <f>SUM(GA2P15B!E2:E17)</f>
        <v>2.052125</v>
      </c>
    </row>
    <row r="163">
      <c r="A163" s="67" t="s">
        <v>885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2" max="2" width="20.14"/>
    <col customWidth="1" min="3" max="3" width="20.86"/>
    <col customWidth="1" min="4" max="4" width="20.57"/>
    <col customWidth="1" min="5" max="5" width="21.29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22">
      <c r="A22" s="16">
        <f>SUM(B2:B17)</f>
        <v>0.04229166667</v>
      </c>
    </row>
  </sheetData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2" max="2" width="29.0"/>
    <col customWidth="1" min="3" max="3" width="28.86"/>
    <col customWidth="1" min="4" max="4" width="27.43"/>
    <col customWidth="1" min="5" max="5" width="29.14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</sheetData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2" max="2" width="22.43"/>
    <col customWidth="1" min="3" max="3" width="24.14"/>
    <col customWidth="1" min="4" max="4" width="24.0"/>
    <col customWidth="1" min="5" max="5" width="22.71"/>
  </cols>
  <sheetData>
    <row r="1"/>
    <row r="2"/>
    <row r="3"/>
    <row r="4"/>
    <row r="5"/>
    <row r="6"/>
    <row r="7"/>
    <row r="8"/>
    <row r="9"/>
    <row r="10"/>
    <row r="11"/>
    <row r="12"/>
  </sheetData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93" t="s">
        <v>895</v>
      </c>
      <c r="B1" s="94" t="s">
        <v>865</v>
      </c>
      <c r="C1" s="94" t="s">
        <v>866</v>
      </c>
      <c r="D1" s="94" t="s">
        <v>867</v>
      </c>
      <c r="E1" s="94" t="s">
        <v>896</v>
      </c>
      <c r="F1" s="94" t="s">
        <v>868</v>
      </c>
      <c r="G1" s="94" t="s">
        <v>869</v>
      </c>
      <c r="H1" s="94" t="s">
        <v>870</v>
      </c>
      <c r="I1" s="95" t="s">
        <v>871</v>
      </c>
    </row>
    <row r="2">
      <c r="A2" s="96">
        <v>1.0</v>
      </c>
      <c r="B2" s="97" t="s">
        <v>71</v>
      </c>
      <c r="C2" s="97" t="s">
        <v>71</v>
      </c>
      <c r="D2" s="97">
        <v>10.0</v>
      </c>
      <c r="E2" s="97">
        <v>2.0</v>
      </c>
      <c r="F2" s="98" t="s">
        <v>897</v>
      </c>
      <c r="G2" s="98" t="s">
        <v>898</v>
      </c>
      <c r="H2" s="97">
        <v>3.3828</v>
      </c>
      <c r="I2" s="99">
        <v>4.3984</v>
      </c>
    </row>
    <row r="3">
      <c r="A3" s="96">
        <v>2.0</v>
      </c>
      <c r="B3" s="97" t="s">
        <v>71</v>
      </c>
      <c r="C3" s="97" t="s">
        <v>80</v>
      </c>
      <c r="D3" s="97">
        <v>10.0</v>
      </c>
      <c r="E3" s="97">
        <v>2.0</v>
      </c>
      <c r="F3" s="98" t="s">
        <v>899</v>
      </c>
      <c r="G3" s="98" t="s">
        <v>900</v>
      </c>
      <c r="H3" s="97">
        <v>1.0615</v>
      </c>
      <c r="I3" s="99">
        <v>1.334</v>
      </c>
    </row>
    <row r="4">
      <c r="A4" s="96">
        <v>3.0</v>
      </c>
      <c r="B4" s="97" t="s">
        <v>80</v>
      </c>
      <c r="C4" s="97" t="s">
        <v>71</v>
      </c>
      <c r="D4" s="97">
        <v>10.0</v>
      </c>
      <c r="E4" s="97">
        <v>2.0</v>
      </c>
      <c r="F4" s="98" t="s">
        <v>901</v>
      </c>
      <c r="G4" s="98" t="s">
        <v>902</v>
      </c>
      <c r="H4" s="97">
        <v>1.4805</v>
      </c>
      <c r="I4" s="99">
        <v>2.0576</v>
      </c>
    </row>
    <row r="5">
      <c r="A5" s="96">
        <v>4.0</v>
      </c>
      <c r="B5" s="97" t="s">
        <v>80</v>
      </c>
      <c r="C5" s="97" t="s">
        <v>80</v>
      </c>
      <c r="D5" s="97">
        <v>10.0</v>
      </c>
      <c r="E5" s="97">
        <v>2.0</v>
      </c>
      <c r="F5" s="98" t="s">
        <v>903</v>
      </c>
      <c r="G5" s="98" t="s">
        <v>904</v>
      </c>
      <c r="H5" s="97">
        <v>0.7637</v>
      </c>
      <c r="I5" s="99">
        <v>0.8594</v>
      </c>
    </row>
  </sheetData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2" max="2" width="31.86"/>
    <col customWidth="1" min="3" max="3" width="33.14"/>
    <col customWidth="1" min="4" max="4" width="30.57"/>
    <col customWidth="1" min="5" max="5" width="32.43"/>
  </cols>
  <sheetData>
    <row r="1"/>
    <row r="2"/>
    <row r="3"/>
    <row r="4"/>
    <row r="5"/>
    <row r="6"/>
    <row r="7"/>
    <row r="8"/>
    <row r="9"/>
    <row r="10"/>
    <row r="11"/>
    <row r="12"/>
  </sheetData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2" max="2" width="31.43"/>
    <col customWidth="1" min="3" max="3" width="32.57"/>
    <col customWidth="1" min="4" max="4" width="31.0"/>
    <col customWidth="1" min="5" max="5" width="31.57"/>
  </cols>
  <sheetData>
    <row r="1"/>
    <row r="2"/>
    <row r="3"/>
    <row r="4"/>
    <row r="5"/>
    <row r="6"/>
    <row r="7"/>
    <row r="8"/>
    <row r="9"/>
    <row r="10"/>
    <row r="11"/>
    <row r="12"/>
  </sheetData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2" max="2" width="20.29"/>
    <col customWidth="1" min="3" max="3" width="21.14"/>
    <col customWidth="1" min="4" max="4" width="21.0"/>
    <col customWidth="1" min="5" max="5" width="20.14"/>
  </cols>
  <sheetData>
    <row r="1"/>
    <row r="2"/>
    <row r="3"/>
    <row r="4"/>
    <row r="5"/>
    <row r="6"/>
    <row r="7"/>
    <row r="8"/>
    <row r="9"/>
    <row r="10"/>
    <row r="11"/>
    <row r="12"/>
  </sheetData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2" max="2" width="32.0"/>
    <col customWidth="1" min="3" max="3" width="31.86"/>
    <col customWidth="1" min="4" max="4" width="32.14"/>
    <col customWidth="1" min="5" max="5" width="31.57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</sheetData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2" max="2" width="22.29"/>
    <col customWidth="1" min="3" max="3" width="23.71"/>
    <col customWidth="1" min="4" max="4" width="22.86"/>
    <col customWidth="1" min="5" max="5" width="23.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</sheetData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6" max="6" width="20.14"/>
    <col customWidth="1" min="7" max="7" width="24.57"/>
  </cols>
  <sheetData>
    <row r="1">
      <c r="A1" s="93" t="s">
        <v>895</v>
      </c>
      <c r="B1" s="94" t="s">
        <v>865</v>
      </c>
      <c r="C1" s="94" t="s">
        <v>866</v>
      </c>
      <c r="D1" s="94" t="s">
        <v>867</v>
      </c>
      <c r="E1" s="94" t="s">
        <v>896</v>
      </c>
      <c r="F1" s="94" t="s">
        <v>905</v>
      </c>
      <c r="G1" s="94" t="s">
        <v>872</v>
      </c>
      <c r="H1" s="94" t="s">
        <v>873</v>
      </c>
      <c r="I1" s="94" t="s">
        <v>874</v>
      </c>
      <c r="J1" s="95" t="s">
        <v>875</v>
      </c>
    </row>
    <row r="2">
      <c r="A2" s="96">
        <v>1.0</v>
      </c>
      <c r="B2" s="97" t="s">
        <v>71</v>
      </c>
      <c r="C2" s="97" t="s">
        <v>71</v>
      </c>
      <c r="D2" s="97">
        <v>10.0</v>
      </c>
      <c r="E2" s="97">
        <v>2.0</v>
      </c>
      <c r="F2" s="98" t="s">
        <v>897</v>
      </c>
      <c r="G2" s="97">
        <v>0.0718</v>
      </c>
      <c r="H2" s="97">
        <v>1.1154</v>
      </c>
      <c r="I2" s="97">
        <v>0.6364</v>
      </c>
      <c r="J2" s="99">
        <v>0.6302</v>
      </c>
    </row>
    <row r="3">
      <c r="A3" s="96">
        <v>2.0</v>
      </c>
      <c r="B3" s="97" t="s">
        <v>71</v>
      </c>
      <c r="C3" s="97" t="s">
        <v>80</v>
      </c>
      <c r="D3" s="97">
        <v>10.0</v>
      </c>
      <c r="E3" s="97">
        <v>2.0</v>
      </c>
      <c r="F3" s="98" t="s">
        <v>899</v>
      </c>
      <c r="G3" s="97">
        <v>0.0586</v>
      </c>
      <c r="H3" s="97">
        <v>0.9432</v>
      </c>
      <c r="I3" s="97">
        <v>0.527</v>
      </c>
      <c r="J3" s="99">
        <v>0.6407</v>
      </c>
    </row>
    <row r="4">
      <c r="A4" s="96">
        <v>3.0</v>
      </c>
      <c r="B4" s="97" t="s">
        <v>80</v>
      </c>
      <c r="C4" s="97" t="s">
        <v>71</v>
      </c>
      <c r="D4" s="97">
        <v>10.0</v>
      </c>
      <c r="E4" s="97">
        <v>2.0</v>
      </c>
      <c r="F4" s="98" t="s">
        <v>901</v>
      </c>
      <c r="G4" s="97">
        <v>0.0552</v>
      </c>
      <c r="H4" s="97">
        <v>0.7711</v>
      </c>
      <c r="I4" s="97">
        <v>0.53</v>
      </c>
      <c r="J4" s="99">
        <v>0.6446</v>
      </c>
    </row>
    <row r="5">
      <c r="A5" s="96">
        <v>4.0</v>
      </c>
      <c r="B5" s="97" t="s">
        <v>80</v>
      </c>
      <c r="C5" s="97" t="s">
        <v>80</v>
      </c>
      <c r="D5" s="97">
        <v>10.0</v>
      </c>
      <c r="E5" s="97">
        <v>2.0</v>
      </c>
      <c r="F5" s="98" t="s">
        <v>903</v>
      </c>
      <c r="G5" s="97">
        <v>0.0551</v>
      </c>
      <c r="H5" s="97">
        <v>0.7876</v>
      </c>
      <c r="I5" s="97">
        <v>0.415</v>
      </c>
      <c r="J5" s="99">
        <v>0.6133</v>
      </c>
    </row>
    <row r="6">
      <c r="A6" s="96">
        <v>5.0</v>
      </c>
      <c r="B6" s="97" t="s">
        <v>62</v>
      </c>
      <c r="C6" s="97" t="s">
        <v>71</v>
      </c>
      <c r="D6" s="97">
        <v>12.0</v>
      </c>
      <c r="E6" s="97">
        <v>2.0</v>
      </c>
      <c r="F6" s="98" t="s">
        <v>901</v>
      </c>
      <c r="G6" s="97">
        <v>0.0976</v>
      </c>
      <c r="H6" s="97">
        <v>0.0073</v>
      </c>
      <c r="I6" s="97">
        <v>0.2704</v>
      </c>
      <c r="J6" s="99">
        <v>0.449</v>
      </c>
    </row>
    <row r="7">
      <c r="A7" s="96">
        <v>6.0</v>
      </c>
      <c r="B7" s="97" t="s">
        <v>62</v>
      </c>
      <c r="C7" s="97" t="s">
        <v>80</v>
      </c>
      <c r="D7" s="97">
        <v>12.0</v>
      </c>
      <c r="E7" s="97">
        <v>2.0</v>
      </c>
      <c r="F7" s="98" t="s">
        <v>903</v>
      </c>
      <c r="G7" s="97">
        <v>0.096</v>
      </c>
      <c r="H7" s="97">
        <v>0.3657</v>
      </c>
      <c r="I7" s="97">
        <v>0.3611</v>
      </c>
      <c r="J7" s="99">
        <v>0.4338</v>
      </c>
    </row>
    <row r="8">
      <c r="A8" s="96">
        <v>7.0</v>
      </c>
      <c r="B8" s="97" t="s">
        <v>71</v>
      </c>
      <c r="C8" s="97" t="s">
        <v>62</v>
      </c>
      <c r="D8" s="97">
        <v>12.0</v>
      </c>
      <c r="E8" s="97">
        <v>2.0</v>
      </c>
      <c r="F8" s="98" t="s">
        <v>906</v>
      </c>
      <c r="G8" s="97">
        <v>0.0914</v>
      </c>
      <c r="H8" s="97">
        <v>0.4699</v>
      </c>
      <c r="I8" s="97">
        <v>0.3309</v>
      </c>
      <c r="J8" s="99">
        <v>0.321</v>
      </c>
    </row>
    <row r="9">
      <c r="A9" s="96">
        <v>8.0</v>
      </c>
      <c r="B9" s="97" t="s">
        <v>80</v>
      </c>
      <c r="C9" s="97" t="s">
        <v>62</v>
      </c>
      <c r="D9" s="97">
        <v>12.0</v>
      </c>
      <c r="E9" s="97">
        <v>2.0</v>
      </c>
      <c r="F9" s="98" t="s">
        <v>907</v>
      </c>
      <c r="G9" s="97">
        <v>0.0995</v>
      </c>
      <c r="H9" s="97">
        <v>0.8058</v>
      </c>
      <c r="I9" s="97">
        <v>0.5645</v>
      </c>
      <c r="J9" s="99">
        <v>0.5584</v>
      </c>
    </row>
    <row r="10">
      <c r="A10" s="96">
        <v>9.0</v>
      </c>
      <c r="B10" s="97" t="s">
        <v>53</v>
      </c>
      <c r="C10" s="97" t="s">
        <v>71</v>
      </c>
      <c r="D10" s="97">
        <v>13.0</v>
      </c>
      <c r="E10" s="97">
        <v>2.0</v>
      </c>
      <c r="F10" s="98" t="s">
        <v>908</v>
      </c>
      <c r="G10" s="97">
        <v>0.1639</v>
      </c>
      <c r="H10" s="97">
        <v>0.7133</v>
      </c>
      <c r="I10" s="97">
        <v>0.4859</v>
      </c>
      <c r="J10" s="99">
        <v>0.554</v>
      </c>
    </row>
    <row r="11">
      <c r="A11" s="96">
        <v>10.0</v>
      </c>
      <c r="B11" s="97" t="s">
        <v>53</v>
      </c>
      <c r="C11" s="97" t="s">
        <v>80</v>
      </c>
      <c r="D11" s="97">
        <v>13.0</v>
      </c>
      <c r="E11" s="97">
        <v>2.0</v>
      </c>
      <c r="F11" s="98" t="s">
        <v>899</v>
      </c>
      <c r="G11" s="97">
        <v>0.1464</v>
      </c>
      <c r="H11" s="97">
        <v>0.7383</v>
      </c>
      <c r="I11" s="97">
        <v>0.5174</v>
      </c>
      <c r="J11" s="99">
        <v>0.5825</v>
      </c>
    </row>
    <row r="12">
      <c r="A12" s="96">
        <v>11.0</v>
      </c>
      <c r="B12" s="97" t="s">
        <v>71</v>
      </c>
      <c r="C12" s="97" t="s">
        <v>53</v>
      </c>
      <c r="D12" s="97">
        <v>13.0</v>
      </c>
      <c r="E12" s="97">
        <v>2.0</v>
      </c>
      <c r="F12" s="98" t="s">
        <v>906</v>
      </c>
      <c r="G12" s="97">
        <v>0.1215</v>
      </c>
      <c r="H12" s="97">
        <v>0.5766</v>
      </c>
      <c r="I12" s="97">
        <v>0.4595</v>
      </c>
      <c r="J12" s="99">
        <v>0.5314</v>
      </c>
    </row>
    <row r="13">
      <c r="A13" s="96">
        <v>12.0</v>
      </c>
      <c r="B13" s="97" t="s">
        <v>80</v>
      </c>
      <c r="C13" s="97" t="s">
        <v>53</v>
      </c>
      <c r="D13" s="97">
        <v>13.0</v>
      </c>
      <c r="E13" s="97">
        <v>2.0</v>
      </c>
      <c r="F13" s="98" t="s">
        <v>899</v>
      </c>
      <c r="G13" s="97">
        <v>0.1154</v>
      </c>
      <c r="H13" s="97">
        <v>0.6536</v>
      </c>
      <c r="I13" s="97">
        <v>0.4663</v>
      </c>
      <c r="J13" s="99">
        <v>0.4364</v>
      </c>
    </row>
    <row r="14">
      <c r="A14" s="96">
        <v>13.0</v>
      </c>
      <c r="B14" s="97" t="s">
        <v>35</v>
      </c>
      <c r="C14" s="97" t="s">
        <v>71</v>
      </c>
      <c r="D14" s="97">
        <v>14.0</v>
      </c>
      <c r="E14" s="97">
        <v>2.0</v>
      </c>
      <c r="F14" s="98" t="s">
        <v>908</v>
      </c>
      <c r="G14" s="97">
        <v>0.2385</v>
      </c>
      <c r="H14" s="97">
        <v>0.0337</v>
      </c>
      <c r="I14" s="97">
        <v>0.2809</v>
      </c>
      <c r="J14" s="99">
        <v>0.2332</v>
      </c>
    </row>
    <row r="15">
      <c r="A15" s="96">
        <v>14.0</v>
      </c>
      <c r="B15" s="97" t="s">
        <v>35</v>
      </c>
      <c r="C15" s="97" t="s">
        <v>80</v>
      </c>
      <c r="D15" s="97">
        <v>14.0</v>
      </c>
      <c r="E15" s="97">
        <v>2.0</v>
      </c>
      <c r="F15" s="98" t="s">
        <v>899</v>
      </c>
      <c r="G15" s="97">
        <v>0.1999</v>
      </c>
      <c r="H15" s="97">
        <v>0.4083</v>
      </c>
      <c r="I15" s="97">
        <v>0.2941</v>
      </c>
      <c r="J15" s="99">
        <v>0.3306</v>
      </c>
    </row>
    <row r="16">
      <c r="A16" s="96">
        <v>15.0</v>
      </c>
      <c r="B16" s="97" t="s">
        <v>44</v>
      </c>
      <c r="C16" s="97" t="s">
        <v>71</v>
      </c>
      <c r="D16" s="97">
        <v>14.0</v>
      </c>
      <c r="E16" s="97">
        <v>2.0</v>
      </c>
      <c r="F16" s="98" t="s">
        <v>908</v>
      </c>
      <c r="G16" s="97">
        <v>0.2039</v>
      </c>
      <c r="H16" s="97">
        <v>0.8769</v>
      </c>
      <c r="I16" s="97">
        <v>0.4964</v>
      </c>
      <c r="J16" s="99">
        <v>0.6713</v>
      </c>
    </row>
    <row r="17">
      <c r="A17" s="96">
        <v>16.0</v>
      </c>
      <c r="B17" s="97" t="s">
        <v>44</v>
      </c>
      <c r="C17" s="97" t="s">
        <v>80</v>
      </c>
      <c r="D17" s="97">
        <v>14.0</v>
      </c>
      <c r="E17" s="97">
        <v>2.0</v>
      </c>
      <c r="F17" s="98" t="s">
        <v>899</v>
      </c>
      <c r="G17" s="97">
        <v>0.231</v>
      </c>
      <c r="H17" s="97">
        <v>0.6742</v>
      </c>
      <c r="I17" s="97">
        <v>0.489</v>
      </c>
      <c r="J17" s="99">
        <v>0.5491</v>
      </c>
    </row>
    <row r="18">
      <c r="A18" s="96">
        <v>17.0</v>
      </c>
      <c r="B18" s="97" t="s">
        <v>62</v>
      </c>
      <c r="C18" s="97" t="s">
        <v>62</v>
      </c>
      <c r="D18" s="97">
        <v>14.0</v>
      </c>
      <c r="E18" s="97">
        <v>2.0</v>
      </c>
      <c r="F18" s="98" t="s">
        <v>909</v>
      </c>
      <c r="G18" s="97">
        <v>0.1436</v>
      </c>
      <c r="H18" s="97">
        <v>0.6914</v>
      </c>
      <c r="I18" s="97">
        <v>0.3881</v>
      </c>
      <c r="J18" s="99">
        <v>0.568</v>
      </c>
    </row>
    <row r="19">
      <c r="A19" s="96">
        <v>18.0</v>
      </c>
      <c r="B19" s="97" t="s">
        <v>71</v>
      </c>
      <c r="C19" s="97" t="s">
        <v>35</v>
      </c>
      <c r="D19" s="97">
        <v>14.0</v>
      </c>
      <c r="E19" s="97">
        <v>2.0</v>
      </c>
      <c r="F19" s="98" t="s">
        <v>910</v>
      </c>
      <c r="G19" s="97">
        <v>0.1519</v>
      </c>
      <c r="H19" s="97">
        <v>0.6837</v>
      </c>
      <c r="I19" s="97">
        <v>0.4635</v>
      </c>
      <c r="J19" s="99">
        <v>0.5404</v>
      </c>
    </row>
    <row r="20">
      <c r="A20" s="96">
        <v>19.0</v>
      </c>
      <c r="B20" s="97" t="s">
        <v>71</v>
      </c>
      <c r="C20" s="97" t="s">
        <v>44</v>
      </c>
      <c r="D20" s="97">
        <v>14.0</v>
      </c>
      <c r="E20" s="97">
        <v>2.0</v>
      </c>
      <c r="F20" s="98" t="s">
        <v>911</v>
      </c>
      <c r="G20" s="97">
        <v>0.159</v>
      </c>
      <c r="H20" s="97">
        <v>0.5322</v>
      </c>
      <c r="I20" s="97">
        <v>0.3953</v>
      </c>
      <c r="J20" s="99">
        <v>0.4414</v>
      </c>
    </row>
    <row r="21">
      <c r="A21" s="96">
        <v>20.0</v>
      </c>
      <c r="B21" s="97" t="s">
        <v>80</v>
      </c>
      <c r="C21" s="97" t="s">
        <v>35</v>
      </c>
      <c r="D21" s="97">
        <v>14.0</v>
      </c>
      <c r="E21" s="97">
        <v>2.0</v>
      </c>
      <c r="F21" s="98" t="s">
        <v>912</v>
      </c>
      <c r="G21" s="97">
        <v>0.1982</v>
      </c>
      <c r="H21" s="97">
        <v>0.2566</v>
      </c>
      <c r="I21" s="97">
        <v>0.2575</v>
      </c>
      <c r="J21" s="99">
        <v>0.2855</v>
      </c>
    </row>
    <row r="22">
      <c r="A22" s="96">
        <v>21.0</v>
      </c>
      <c r="B22" s="97" t="s">
        <v>80</v>
      </c>
      <c r="C22" s="97" t="s">
        <v>44</v>
      </c>
      <c r="D22" s="97">
        <v>14.0</v>
      </c>
      <c r="E22" s="97">
        <v>2.0</v>
      </c>
      <c r="F22" s="98" t="s">
        <v>899</v>
      </c>
      <c r="G22" s="97">
        <v>0.1605</v>
      </c>
      <c r="H22" s="97">
        <v>0.3393</v>
      </c>
      <c r="I22" s="97">
        <v>0.3009</v>
      </c>
      <c r="J22" s="99">
        <v>0.2629</v>
      </c>
    </row>
    <row r="23">
      <c r="A23" s="96">
        <v>22.0</v>
      </c>
      <c r="B23" s="97" t="s">
        <v>11</v>
      </c>
      <c r="C23" s="97" t="s">
        <v>71</v>
      </c>
      <c r="D23" s="97">
        <v>15.0</v>
      </c>
      <c r="E23" s="97">
        <v>2.0</v>
      </c>
      <c r="F23" s="98" t="s">
        <v>908</v>
      </c>
      <c r="G23" s="97">
        <v>0.2577</v>
      </c>
      <c r="H23" s="97">
        <v>0.8096</v>
      </c>
      <c r="I23" s="97">
        <v>0.4785</v>
      </c>
      <c r="J23" s="99">
        <v>0.4385</v>
      </c>
    </row>
    <row r="24">
      <c r="A24" s="96">
        <v>23.0</v>
      </c>
      <c r="B24" s="97" t="s">
        <v>11</v>
      </c>
      <c r="C24" s="97" t="s">
        <v>80</v>
      </c>
      <c r="D24" s="97">
        <v>15.0</v>
      </c>
      <c r="E24" s="97">
        <v>2.0</v>
      </c>
      <c r="F24" s="98" t="s">
        <v>899</v>
      </c>
      <c r="G24" s="97">
        <v>0.2377</v>
      </c>
      <c r="H24" s="97">
        <v>0.5776</v>
      </c>
      <c r="I24" s="97">
        <v>0.4142</v>
      </c>
      <c r="J24" s="99">
        <v>0.4678</v>
      </c>
    </row>
    <row r="25">
      <c r="A25" s="96">
        <v>24.0</v>
      </c>
      <c r="B25" s="97" t="s">
        <v>53</v>
      </c>
      <c r="C25" s="97" t="s">
        <v>62</v>
      </c>
      <c r="D25" s="97">
        <v>15.0</v>
      </c>
      <c r="E25" s="97">
        <v>2.0</v>
      </c>
      <c r="F25" s="98" t="s">
        <v>906</v>
      </c>
      <c r="G25" s="97">
        <v>0.2329</v>
      </c>
      <c r="H25" s="97">
        <v>0.5941</v>
      </c>
      <c r="I25" s="97">
        <v>0.3265</v>
      </c>
      <c r="J25" s="99">
        <v>0.4058</v>
      </c>
    </row>
    <row r="26">
      <c r="A26" s="96">
        <v>25.0</v>
      </c>
      <c r="B26" s="97" t="s">
        <v>62</v>
      </c>
      <c r="C26" s="97" t="s">
        <v>53</v>
      </c>
      <c r="D26" s="97">
        <v>15.0</v>
      </c>
      <c r="E26" s="97">
        <v>2.0</v>
      </c>
      <c r="F26" s="98" t="s">
        <v>899</v>
      </c>
      <c r="G26" s="97">
        <v>0.1993</v>
      </c>
      <c r="H26" s="97">
        <v>0.5823</v>
      </c>
      <c r="I26" s="97">
        <v>0.3629</v>
      </c>
      <c r="J26" s="99">
        <v>0.4366</v>
      </c>
    </row>
    <row r="27">
      <c r="A27" s="96">
        <v>26.0</v>
      </c>
      <c r="B27" s="97" t="s">
        <v>71</v>
      </c>
      <c r="C27" s="97" t="s">
        <v>11</v>
      </c>
      <c r="D27" s="97">
        <v>15.0</v>
      </c>
      <c r="E27" s="97">
        <v>2.0</v>
      </c>
      <c r="F27" s="98" t="s">
        <v>913</v>
      </c>
      <c r="G27" s="97">
        <v>0.202</v>
      </c>
      <c r="H27" s="97">
        <v>0.3868</v>
      </c>
      <c r="I27" s="97">
        <v>0.2981</v>
      </c>
      <c r="J27" s="99">
        <v>0.3467</v>
      </c>
    </row>
    <row r="28">
      <c r="A28" s="96">
        <v>27.0</v>
      </c>
      <c r="B28" s="97" t="s">
        <v>80</v>
      </c>
      <c r="C28" s="97" t="s">
        <v>11</v>
      </c>
      <c r="D28" s="97">
        <v>15.0</v>
      </c>
      <c r="E28" s="97">
        <v>2.0</v>
      </c>
      <c r="F28" s="98" t="s">
        <v>912</v>
      </c>
      <c r="G28" s="97">
        <v>0.2043</v>
      </c>
      <c r="H28" s="97">
        <v>0.2551</v>
      </c>
      <c r="I28" s="97">
        <v>0.244</v>
      </c>
      <c r="J28" s="99">
        <v>0.2026</v>
      </c>
    </row>
    <row r="29">
      <c r="A29" s="96">
        <v>28.0</v>
      </c>
      <c r="B29" s="97" t="s">
        <v>35</v>
      </c>
      <c r="C29" s="97" t="s">
        <v>62</v>
      </c>
      <c r="D29" s="97">
        <v>16.0</v>
      </c>
      <c r="E29" s="97">
        <v>2.0</v>
      </c>
      <c r="F29" s="98" t="s">
        <v>906</v>
      </c>
      <c r="G29" s="97">
        <v>0.3018</v>
      </c>
      <c r="H29" s="97">
        <v>0.3482</v>
      </c>
      <c r="I29" s="97">
        <v>0.2811</v>
      </c>
      <c r="J29" s="99">
        <v>0.225</v>
      </c>
    </row>
    <row r="30">
      <c r="A30" s="96">
        <v>29.0</v>
      </c>
      <c r="B30" s="97" t="s">
        <v>44</v>
      </c>
      <c r="C30" s="97" t="s">
        <v>62</v>
      </c>
      <c r="D30" s="97">
        <v>16.0</v>
      </c>
      <c r="E30" s="97">
        <v>2.0</v>
      </c>
      <c r="F30" s="98" t="s">
        <v>910</v>
      </c>
      <c r="G30" s="97">
        <v>0.2991</v>
      </c>
      <c r="H30" s="97">
        <v>0.5867</v>
      </c>
      <c r="I30" s="97">
        <v>0.4049</v>
      </c>
      <c r="J30" s="99">
        <v>0.4664</v>
      </c>
    </row>
    <row r="31">
      <c r="A31" s="96">
        <v>30.0</v>
      </c>
      <c r="B31" s="97" t="s">
        <v>53</v>
      </c>
      <c r="C31" s="97" t="s">
        <v>53</v>
      </c>
      <c r="D31" s="97">
        <v>16.0</v>
      </c>
      <c r="E31" s="97">
        <v>2.0</v>
      </c>
      <c r="F31" s="98" t="s">
        <v>899</v>
      </c>
      <c r="G31" s="97">
        <v>0.2958</v>
      </c>
      <c r="H31" s="97">
        <v>0.5321</v>
      </c>
      <c r="I31" s="97">
        <v>0.3507</v>
      </c>
      <c r="J31" s="99">
        <v>0.3867</v>
      </c>
    </row>
    <row r="32">
      <c r="A32" s="96">
        <v>31.0</v>
      </c>
      <c r="B32" s="97" t="s">
        <v>62</v>
      </c>
      <c r="C32" s="97" t="s">
        <v>35</v>
      </c>
      <c r="D32" s="97">
        <v>16.0</v>
      </c>
      <c r="E32" s="97">
        <v>2.0</v>
      </c>
      <c r="F32" s="98" t="s">
        <v>914</v>
      </c>
      <c r="G32" s="97">
        <v>0.2406</v>
      </c>
      <c r="H32" s="97">
        <v>0.4731</v>
      </c>
      <c r="I32" s="97">
        <v>0.3431</v>
      </c>
      <c r="J32" s="99">
        <v>0.3961</v>
      </c>
    </row>
    <row r="33">
      <c r="A33" s="96">
        <v>32.0</v>
      </c>
      <c r="B33" s="97" t="s">
        <v>62</v>
      </c>
      <c r="C33" s="97" t="s">
        <v>44</v>
      </c>
      <c r="D33" s="97">
        <v>16.0</v>
      </c>
      <c r="E33" s="97">
        <v>2.0</v>
      </c>
      <c r="F33" s="98" t="s">
        <v>899</v>
      </c>
      <c r="G33" s="97">
        <v>0.2875</v>
      </c>
      <c r="H33" s="97">
        <v>0.4395</v>
      </c>
      <c r="I33" s="97">
        <v>0.2296</v>
      </c>
      <c r="J33" s="99">
        <v>0.3463</v>
      </c>
    </row>
    <row r="34">
      <c r="A34" s="96">
        <v>33.0</v>
      </c>
      <c r="B34" s="97" t="s">
        <v>11</v>
      </c>
      <c r="C34" s="97" t="s">
        <v>62</v>
      </c>
      <c r="D34" s="97">
        <v>17.0</v>
      </c>
      <c r="E34" s="97">
        <v>2.0</v>
      </c>
      <c r="F34" s="98" t="s">
        <v>915</v>
      </c>
      <c r="G34" s="97">
        <v>0.4252</v>
      </c>
      <c r="H34" s="97">
        <v>0.3143</v>
      </c>
      <c r="I34" s="97">
        <v>0.2228</v>
      </c>
      <c r="J34" s="99">
        <v>0.1957</v>
      </c>
    </row>
    <row r="35">
      <c r="A35" s="96">
        <v>34.0</v>
      </c>
      <c r="B35" s="97" t="s">
        <v>35</v>
      </c>
      <c r="C35" s="97" t="s">
        <v>53</v>
      </c>
      <c r="D35" s="97">
        <v>17.0</v>
      </c>
      <c r="E35" s="97">
        <v>2.0</v>
      </c>
      <c r="F35" s="98" t="s">
        <v>899</v>
      </c>
      <c r="G35" s="97">
        <v>0.366</v>
      </c>
      <c r="H35" s="97">
        <v>0.2052</v>
      </c>
      <c r="I35" s="97">
        <v>0.166</v>
      </c>
      <c r="J35" s="99">
        <v>0.158</v>
      </c>
    </row>
    <row r="36">
      <c r="A36" s="96">
        <v>35.0</v>
      </c>
      <c r="B36" s="97" t="s">
        <v>44</v>
      </c>
      <c r="C36" s="97" t="s">
        <v>53</v>
      </c>
      <c r="D36" s="97">
        <v>17.0</v>
      </c>
      <c r="E36" s="97">
        <v>2.0</v>
      </c>
      <c r="F36" s="98" t="s">
        <v>899</v>
      </c>
      <c r="G36" s="97">
        <v>0.3808</v>
      </c>
      <c r="H36" s="97">
        <v>0.2119</v>
      </c>
      <c r="I36" s="97">
        <v>0.1729</v>
      </c>
      <c r="J36" s="99">
        <v>0.1531</v>
      </c>
    </row>
    <row r="37">
      <c r="A37" s="96">
        <v>36.0</v>
      </c>
      <c r="B37" s="97" t="s">
        <v>53</v>
      </c>
      <c r="C37" s="97" t="s">
        <v>35</v>
      </c>
      <c r="D37" s="97">
        <v>17.0</v>
      </c>
      <c r="E37" s="97">
        <v>2.0</v>
      </c>
      <c r="F37" s="98" t="s">
        <v>910</v>
      </c>
      <c r="G37" s="97">
        <v>0.4256</v>
      </c>
      <c r="H37" s="97">
        <v>0.3664</v>
      </c>
      <c r="I37" s="97">
        <v>0.2195</v>
      </c>
      <c r="J37" s="99">
        <v>0.3933</v>
      </c>
    </row>
    <row r="38">
      <c r="A38" s="96">
        <v>37.0</v>
      </c>
      <c r="B38" s="97" t="s">
        <v>53</v>
      </c>
      <c r="C38" s="97" t="s">
        <v>44</v>
      </c>
      <c r="D38" s="97">
        <v>17.0</v>
      </c>
      <c r="E38" s="97">
        <v>2.0</v>
      </c>
      <c r="F38" s="98" t="s">
        <v>915</v>
      </c>
      <c r="G38" s="97">
        <v>0.3584</v>
      </c>
      <c r="H38" s="97">
        <v>0.2655</v>
      </c>
      <c r="I38" s="97">
        <v>0.2362</v>
      </c>
      <c r="J38" s="99">
        <v>0.3467</v>
      </c>
    </row>
    <row r="39">
      <c r="A39" s="96">
        <v>38.0</v>
      </c>
      <c r="B39" s="97" t="s">
        <v>62</v>
      </c>
      <c r="C39" s="97" t="s">
        <v>11</v>
      </c>
      <c r="D39" s="97">
        <v>17.0</v>
      </c>
      <c r="E39" s="97">
        <v>2.0</v>
      </c>
      <c r="F39" s="98" t="s">
        <v>916</v>
      </c>
      <c r="G39" s="97">
        <v>0.3619</v>
      </c>
      <c r="H39" s="97">
        <v>0.3022</v>
      </c>
      <c r="I39" s="97">
        <v>0.1862</v>
      </c>
      <c r="J39" s="99">
        <v>0.4256</v>
      </c>
    </row>
    <row r="40">
      <c r="A40" s="96">
        <v>39.0</v>
      </c>
      <c r="B40" s="97" t="s">
        <v>11</v>
      </c>
      <c r="C40" s="97" t="s">
        <v>53</v>
      </c>
      <c r="D40" s="97">
        <v>18.0</v>
      </c>
      <c r="E40" s="97">
        <v>2.0</v>
      </c>
      <c r="F40" s="98" t="s">
        <v>899</v>
      </c>
      <c r="G40" s="97">
        <v>0.5066</v>
      </c>
      <c r="H40" s="97">
        <v>0.2512</v>
      </c>
      <c r="I40" s="97">
        <v>0.1802</v>
      </c>
      <c r="J40" s="99">
        <v>0.392</v>
      </c>
    </row>
    <row r="41">
      <c r="A41" s="96">
        <v>40.0</v>
      </c>
      <c r="B41" s="97" t="s">
        <v>35</v>
      </c>
      <c r="C41" s="97" t="s">
        <v>35</v>
      </c>
      <c r="D41" s="97">
        <v>18.0</v>
      </c>
      <c r="E41" s="97">
        <v>2.0</v>
      </c>
      <c r="F41" s="98" t="s">
        <v>910</v>
      </c>
      <c r="G41" s="97">
        <v>0.5444</v>
      </c>
      <c r="H41" s="97">
        <v>0.1623</v>
      </c>
      <c r="I41" s="97">
        <v>0.1157</v>
      </c>
      <c r="J41" s="99">
        <v>0.1747</v>
      </c>
    </row>
    <row r="42">
      <c r="A42" s="96">
        <v>41.0</v>
      </c>
      <c r="B42" s="97" t="s">
        <v>35</v>
      </c>
      <c r="C42" s="97" t="s">
        <v>44</v>
      </c>
      <c r="D42" s="97">
        <v>18.0</v>
      </c>
      <c r="E42" s="97">
        <v>2.0</v>
      </c>
      <c r="F42" s="98" t="s">
        <v>915</v>
      </c>
      <c r="G42" s="97">
        <v>0.456</v>
      </c>
      <c r="H42" s="97">
        <v>0.1291</v>
      </c>
      <c r="I42" s="97">
        <v>0.075</v>
      </c>
      <c r="J42" s="99">
        <v>0.1559</v>
      </c>
    </row>
    <row r="43">
      <c r="A43" s="96">
        <v>42.0</v>
      </c>
      <c r="B43" s="97" t="s">
        <v>44</v>
      </c>
      <c r="C43" s="97" t="s">
        <v>35</v>
      </c>
      <c r="D43" s="97">
        <v>18.0</v>
      </c>
      <c r="E43" s="97">
        <v>2.0</v>
      </c>
      <c r="F43" s="98" t="s">
        <v>914</v>
      </c>
      <c r="G43" s="97">
        <v>0.5266</v>
      </c>
      <c r="H43" s="97">
        <v>0.0117</v>
      </c>
      <c r="I43" s="97">
        <v>0.0976</v>
      </c>
      <c r="J43" s="99">
        <v>0.1798</v>
      </c>
    </row>
    <row r="44">
      <c r="A44" s="96">
        <v>43.0</v>
      </c>
      <c r="B44" s="97" t="s">
        <v>44</v>
      </c>
      <c r="C44" s="97" t="s">
        <v>44</v>
      </c>
      <c r="D44" s="97">
        <v>18.0</v>
      </c>
      <c r="E44" s="97">
        <v>2.0</v>
      </c>
      <c r="F44" s="98" t="s">
        <v>915</v>
      </c>
      <c r="G44" s="97">
        <v>0.4873</v>
      </c>
      <c r="H44" s="97">
        <v>0.0454</v>
      </c>
      <c r="I44" s="97">
        <v>0.2393</v>
      </c>
      <c r="J44" s="99">
        <v>0.5122</v>
      </c>
    </row>
    <row r="45">
      <c r="A45" s="96">
        <v>44.0</v>
      </c>
      <c r="B45" s="97" t="s">
        <v>53</v>
      </c>
      <c r="C45" s="97" t="s">
        <v>11</v>
      </c>
      <c r="D45" s="97">
        <v>18.0</v>
      </c>
      <c r="E45" s="97">
        <v>2.0</v>
      </c>
      <c r="F45" s="98" t="s">
        <v>913</v>
      </c>
      <c r="G45" s="97">
        <v>0.5794</v>
      </c>
      <c r="H45" s="97">
        <v>0.0325</v>
      </c>
      <c r="I45" s="97">
        <v>0.2165</v>
      </c>
      <c r="J45" s="99">
        <v>0.3723</v>
      </c>
    </row>
    <row r="46">
      <c r="A46" s="96">
        <v>45.0</v>
      </c>
      <c r="B46" s="97" t="s">
        <v>11</v>
      </c>
      <c r="C46" s="97" t="s">
        <v>35</v>
      </c>
      <c r="D46" s="97">
        <v>19.0</v>
      </c>
      <c r="E46" s="97">
        <v>2.0</v>
      </c>
      <c r="F46" s="98" t="s">
        <v>914</v>
      </c>
      <c r="G46" s="97">
        <v>0.67</v>
      </c>
      <c r="H46" s="97">
        <v>0.1994</v>
      </c>
      <c r="I46" s="97">
        <v>0.2204</v>
      </c>
      <c r="J46" s="99">
        <v>0.4529</v>
      </c>
    </row>
    <row r="47">
      <c r="A47" s="96">
        <v>46.0</v>
      </c>
      <c r="B47" s="97" t="s">
        <v>11</v>
      </c>
      <c r="C47" s="97" t="s">
        <v>44</v>
      </c>
      <c r="D47" s="97">
        <v>19.0</v>
      </c>
      <c r="E47" s="97">
        <v>2.0</v>
      </c>
      <c r="F47" s="98" t="s">
        <v>915</v>
      </c>
      <c r="G47" s="97">
        <v>0.6079</v>
      </c>
      <c r="H47" s="97">
        <v>0.2393</v>
      </c>
      <c r="I47" s="97">
        <v>0.1483</v>
      </c>
      <c r="J47" s="99">
        <v>0.3891</v>
      </c>
    </row>
    <row r="48">
      <c r="A48" s="96">
        <v>47.0</v>
      </c>
      <c r="B48" s="97" t="s">
        <v>35</v>
      </c>
      <c r="C48" s="97" t="s">
        <v>11</v>
      </c>
      <c r="D48" s="97">
        <v>19.0</v>
      </c>
      <c r="E48" s="97">
        <v>2.0</v>
      </c>
      <c r="F48" s="98" t="s">
        <v>913</v>
      </c>
      <c r="G48" s="97">
        <v>0.7161</v>
      </c>
      <c r="H48" s="97">
        <v>0.2469</v>
      </c>
      <c r="I48" s="97">
        <v>0.1683</v>
      </c>
      <c r="J48" s="99">
        <v>0.2199</v>
      </c>
    </row>
    <row r="49">
      <c r="A49" s="96">
        <v>48.0</v>
      </c>
      <c r="B49" s="97" t="s">
        <v>44</v>
      </c>
      <c r="C49" s="97" t="s">
        <v>11</v>
      </c>
      <c r="D49" s="97">
        <v>19.0</v>
      </c>
      <c r="E49" s="97">
        <v>2.0</v>
      </c>
      <c r="F49" s="98" t="s">
        <v>913</v>
      </c>
      <c r="G49" s="97">
        <v>0.7613</v>
      </c>
      <c r="H49" s="97">
        <v>0.0092</v>
      </c>
      <c r="I49" s="97">
        <v>0.0591</v>
      </c>
      <c r="J49" s="99">
        <v>0.1302</v>
      </c>
    </row>
    <row r="50">
      <c r="A50" s="96">
        <v>49.0</v>
      </c>
      <c r="B50" s="97" t="s">
        <v>11</v>
      </c>
      <c r="C50" s="97" t="s">
        <v>11</v>
      </c>
      <c r="D50" s="97">
        <v>20.0</v>
      </c>
      <c r="E50" s="97">
        <v>2.0</v>
      </c>
      <c r="F50" s="98" t="s">
        <v>913</v>
      </c>
      <c r="G50" s="97">
        <v>0.9596</v>
      </c>
      <c r="H50" s="97">
        <v>0.0659</v>
      </c>
      <c r="I50" s="97">
        <v>0.0625</v>
      </c>
      <c r="J50" s="99">
        <v>0.1263</v>
      </c>
    </row>
  </sheetData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2025-07-15T11:14:00Z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B42D9B1E67D34F42884ED5317424E901_13</vt:lpwstr>
  </property>
  <property fmtid="{D5CDD505-2E9C-101B-9397-08002B2CF9AE}" pid="3" name="KSOProductBuildVer">
    <vt:lpwstr>3082-12.1.0.25862</vt:lpwstr>
  </property>
  <property fmtid="{D5CDD505-2E9C-101B-9397-08002B2CF9AE}" pid="4" name="CalculationRule">
    <vt:i4>0</vt:i4>
  </property>
</Properties>
</file>